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dff5c664b19dc0/2025/Strategic_Accounts_App/"/>
    </mc:Choice>
  </mc:AlternateContent>
  <xr:revisionPtr revIDLastSave="0" documentId="8_{AB8E7485-E921-4A2D-B423-CAC103FA3C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utside Sales " sheetId="12" r:id="rId1"/>
    <sheet name="Wausau Locations" sheetId="8" r:id="rId2"/>
    <sheet name="Sheet1 (2)" sheetId="10" state="hidden" r:id="rId3"/>
    <sheet name="Sheet1 (3)" sheetId="11" state="hidden" r:id="rId4"/>
    <sheet name="Outside Sales - All Info (2 (3" sheetId="9" state="hidden" r:id="rId5"/>
    <sheet name="Sheet1" sheetId="7" state="hidden" r:id="rId6"/>
    <sheet name="Outside Sales - All Info (2)" sheetId="6" state="hidden" r:id="rId7"/>
  </sheets>
  <definedNames>
    <definedName name="_xlnm._FilterDatabase" localSheetId="0" hidden="1">'Outside Sales '!$A$1:$W$149</definedName>
    <definedName name="_xlnm.Print_Area" localSheetId="0">'Outside Sales '!$A$1:$W$149</definedName>
    <definedName name="_xlnm.Print_Area" localSheetId="4">'Outside Sales - All Info (2 (3'!$A$1:$L$75</definedName>
    <definedName name="_xlnm.Print_Area" localSheetId="6">'Outside Sales - All Info (2)'!$A$1:$M$71</definedName>
    <definedName name="_xlnm.Print_Titles" localSheetId="0">'Outside Sales '!$1:$1</definedName>
    <definedName name="_xlnm.Print_Titles" localSheetId="4">'Outside Sales - All Info (2 (3'!$1:$2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2" l="1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2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99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21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2" i="12"/>
</calcChain>
</file>

<file path=xl/sharedStrings.xml><?xml version="1.0" encoding="utf-8"?>
<sst xmlns="http://schemas.openxmlformats.org/spreadsheetml/2006/main" count="3523" uniqueCount="1492">
  <si>
    <t>WAUSAU SUPPLY COMPANY SALES STAFF</t>
  </si>
  <si>
    <t>Title</t>
  </si>
  <si>
    <t>Name</t>
  </si>
  <si>
    <t>Region</t>
  </si>
  <si>
    <t>Territory</t>
  </si>
  <si>
    <t>Siding Specialist</t>
  </si>
  <si>
    <t>Address</t>
  </si>
  <si>
    <t>City</t>
  </si>
  <si>
    <t>State</t>
  </si>
  <si>
    <t>Ext.</t>
  </si>
  <si>
    <t>PHONE</t>
  </si>
  <si>
    <t>Email Address</t>
  </si>
  <si>
    <t>VP of Sales &amp; Strategy - Waudena</t>
  </si>
  <si>
    <t>Stacey Menkveld</t>
  </si>
  <si>
    <t>Ryan Schroeder</t>
  </si>
  <si>
    <t>W</t>
  </si>
  <si>
    <t>152025 Starlite Drive</t>
  </si>
  <si>
    <t>Mosinee</t>
  </si>
  <si>
    <t>WI</t>
  </si>
  <si>
    <t>715.225.2544</t>
  </si>
  <si>
    <t>ryan.schroeder@wausausupply.com</t>
  </si>
  <si>
    <t>National Accounts Manager</t>
  </si>
  <si>
    <t>Steve Thielman</t>
  </si>
  <si>
    <t>National Accounts</t>
  </si>
  <si>
    <t>W3821 Somerset Ct</t>
  </si>
  <si>
    <t>Fond Du Lac</t>
  </si>
  <si>
    <t>715.660.1885</t>
  </si>
  <si>
    <t>Steve.Thielman@wausausupply,com</t>
  </si>
  <si>
    <t>Devin Brady</t>
  </si>
  <si>
    <t xml:space="preserve">W </t>
  </si>
  <si>
    <t xml:space="preserve">11028 S Barker Rd </t>
  </si>
  <si>
    <t xml:space="preserve">Olathe </t>
  </si>
  <si>
    <t>KS</t>
  </si>
  <si>
    <t>715.216.2795</t>
  </si>
  <si>
    <t>devin.brady@waudena.com</t>
  </si>
  <si>
    <t>Waudena Territory Manager</t>
  </si>
  <si>
    <t>OPEN POSITION</t>
  </si>
  <si>
    <t>Wisconsin | llinois | Eastern Missouri</t>
  </si>
  <si>
    <t>Wisconsin</t>
  </si>
  <si>
    <t>William Hamlin</t>
  </si>
  <si>
    <t>Michigan | Indiana</t>
  </si>
  <si>
    <t>3506 Goodwood Drive SE</t>
  </si>
  <si>
    <t>Grand Rapids</t>
  </si>
  <si>
    <t>MI</t>
  </si>
  <si>
    <t>715.660.8334</t>
  </si>
  <si>
    <t>bill.hamlin@waudena.com</t>
  </si>
  <si>
    <t>Tom Faber</t>
  </si>
  <si>
    <t>Nebraska | Iowa | Colorado | South Dakota</t>
  </si>
  <si>
    <t>12904 Craig Street</t>
  </si>
  <si>
    <t>Omaha</t>
  </si>
  <si>
    <t>NE</t>
  </si>
  <si>
    <t>715.660.6772</t>
  </si>
  <si>
    <t>thomas.faber@waudena.com</t>
  </si>
  <si>
    <t xml:space="preserve">Kyle Wray </t>
  </si>
  <si>
    <t>Tennessee | Georgia | Alabama</t>
  </si>
  <si>
    <t>278 Hutch Court</t>
  </si>
  <si>
    <t>Gallatin</t>
  </si>
  <si>
    <t>TN</t>
  </si>
  <si>
    <t>615.961.8236</t>
  </si>
  <si>
    <t>kyle.wray@waudena.com</t>
  </si>
  <si>
    <t>3XL</t>
  </si>
  <si>
    <t>Taylor Nehls</t>
  </si>
  <si>
    <t xml:space="preserve">Ohio | KY | PA </t>
  </si>
  <si>
    <t>4606 Prairie Bluff Ave</t>
  </si>
  <si>
    <t>Springfield</t>
  </si>
  <si>
    <t>OH</t>
  </si>
  <si>
    <t>715.660.8229</t>
  </si>
  <si>
    <t>taylor.nehls@waudena.com</t>
  </si>
  <si>
    <t>L</t>
  </si>
  <si>
    <t>Don Boomsma</t>
  </si>
  <si>
    <t>Minnesota | North Dakota</t>
  </si>
  <si>
    <t>1605 Hudson Ave</t>
  </si>
  <si>
    <t>Lakeville</t>
  </si>
  <si>
    <t>MN</t>
  </si>
  <si>
    <t>612.322.8393</t>
  </si>
  <si>
    <t>donald.boomsma@waudena.com</t>
  </si>
  <si>
    <t>Cody Miller</t>
  </si>
  <si>
    <t>Arizona | Texas | Utah</t>
  </si>
  <si>
    <t>9443 E Osage Ave</t>
  </si>
  <si>
    <t>Mesa</t>
  </si>
  <si>
    <t>AZ</t>
  </si>
  <si>
    <t>480.267.8811</t>
  </si>
  <si>
    <t>cody.miller@waudena.com</t>
  </si>
  <si>
    <t>Chris Logan</t>
  </si>
  <si>
    <t>North Carolina | South Carolina | Virginia</t>
  </si>
  <si>
    <t>150 Bellinshire Dr</t>
  </si>
  <si>
    <t>Mount Ulla</t>
  </si>
  <si>
    <t>NC</t>
  </si>
  <si>
    <t>980.439.4002</t>
  </si>
  <si>
    <t>christopher.logan@waudena.com</t>
  </si>
  <si>
    <t>VP of Sales &amp; Marketing</t>
  </si>
  <si>
    <t>David Zelch</t>
  </si>
  <si>
    <t>51 Ravine Rd</t>
  </si>
  <si>
    <t xml:space="preserve">De Pere </t>
  </si>
  <si>
    <t xml:space="preserve">WI </t>
  </si>
  <si>
    <t>david.zelch@wausausupply.com</t>
  </si>
  <si>
    <t>VP of Vendor Relations &amp; Strategic Accounts</t>
  </si>
  <si>
    <t>Adam Huckstaedt</t>
  </si>
  <si>
    <t>151814 Baneberry Ct</t>
  </si>
  <si>
    <t>Wausau</t>
  </si>
  <si>
    <t>715.218.8616</t>
  </si>
  <si>
    <t>adam.hueckstaedt@wausausupply.com</t>
  </si>
  <si>
    <t>Director of Strategic Accounts</t>
  </si>
  <si>
    <t>Mike Hutchinson</t>
  </si>
  <si>
    <t>15479 Jersey Ave S.</t>
  </si>
  <si>
    <t>Savage</t>
  </si>
  <si>
    <t>612.719.7641</t>
  </si>
  <si>
    <t>mike.hutchinson@wausausupply.com</t>
  </si>
  <si>
    <t>Strategic Account Manager</t>
  </si>
  <si>
    <t>Shawn Baumbaugh</t>
  </si>
  <si>
    <t>The Home Depot/Carter Lumber/SRS/Lansing</t>
  </si>
  <si>
    <t>Tom Smith</t>
  </si>
  <si>
    <t>BFS/USLBM/QXO and Large Builders</t>
  </si>
  <si>
    <t xml:space="preserve">Engineered Wood Products Manager </t>
  </si>
  <si>
    <t>Mitch Georg</t>
  </si>
  <si>
    <t>2107 Fantail Ave</t>
  </si>
  <si>
    <t xml:space="preserve">Schofield </t>
  </si>
  <si>
    <t>715.218.4451</t>
  </si>
  <si>
    <t>mitch.goerg@wausausupply.com</t>
  </si>
  <si>
    <t>Director of Sales - West</t>
  </si>
  <si>
    <t>Keith Scott</t>
  </si>
  <si>
    <t>686 Tanglewood Drive</t>
  </si>
  <si>
    <t>Rexburg</t>
  </si>
  <si>
    <t>ID</t>
  </si>
  <si>
    <t>715.218.4464</t>
  </si>
  <si>
    <t>keith.scott@wausausupply.com</t>
  </si>
  <si>
    <t>Regional Manager</t>
  </si>
  <si>
    <t>Anthony Frediani</t>
  </si>
  <si>
    <t>Western Great Lakes</t>
  </si>
  <si>
    <t>251 Thrush Circle</t>
  </si>
  <si>
    <t>Lindenhurst</t>
  </si>
  <si>
    <t>IL</t>
  </si>
  <si>
    <t>715.935.0472</t>
  </si>
  <si>
    <t>Anthony.Frediani@wausausupply.com</t>
  </si>
  <si>
    <t>Large</t>
  </si>
  <si>
    <t>Regional Business Partner</t>
  </si>
  <si>
    <t>Jordan Wagner</t>
  </si>
  <si>
    <t>2XL</t>
  </si>
  <si>
    <t>Regional Territory Manager</t>
  </si>
  <si>
    <t>Chris Hermansen</t>
  </si>
  <si>
    <t>B</t>
  </si>
  <si>
    <t>Milwaukee |Eastern WI</t>
  </si>
  <si>
    <t>Ryan McDermid</t>
  </si>
  <si>
    <t>2426 Rebecca Drive</t>
  </si>
  <si>
    <t>Racine</t>
  </si>
  <si>
    <t>262.234.9783</t>
  </si>
  <si>
    <t>chris.hermansen@wausausupply.com</t>
  </si>
  <si>
    <t>Territory Manager</t>
  </si>
  <si>
    <t>Kathi Kampen</t>
  </si>
  <si>
    <t>Northeastern Wisconsin</t>
  </si>
  <si>
    <t>Chris Berger</t>
  </si>
  <si>
    <t>2309 Sunny Lane APT O</t>
  </si>
  <si>
    <t>Green Bay</t>
  </si>
  <si>
    <t>262.220.3118</t>
  </si>
  <si>
    <t>Kathi.Kampen@wausausupply.com</t>
  </si>
  <si>
    <t>Rodney Fisher</t>
  </si>
  <si>
    <t>Central WI</t>
  </si>
  <si>
    <t>9637 Ross Rd.</t>
  </si>
  <si>
    <t>Tomahawk</t>
  </si>
  <si>
    <t>715.660.9172</t>
  </si>
  <si>
    <t>rod.fisher@wausausupply.com</t>
  </si>
  <si>
    <t>Shalom Wicks</t>
  </si>
  <si>
    <t>Western Wisconsin</t>
  </si>
  <si>
    <t>Collin Wuebben</t>
  </si>
  <si>
    <t>212 E Elm Street</t>
  </si>
  <si>
    <t>Thorp</t>
  </si>
  <si>
    <t>608.668.1957</t>
  </si>
  <si>
    <t>shalom.wicks@wausausupply.com</t>
  </si>
  <si>
    <t>Thomas Featherly</t>
  </si>
  <si>
    <t xml:space="preserve">Northwest Wisconsin </t>
  </si>
  <si>
    <t>320 Reuter Ave</t>
  </si>
  <si>
    <t>Rice Lake</t>
  </si>
  <si>
    <t>715.660.6889</t>
  </si>
  <si>
    <t>thomas.featherly@wausausupply.com</t>
  </si>
  <si>
    <t>Andrew Kindernan</t>
  </si>
  <si>
    <t>Milwaukee</t>
  </si>
  <si>
    <t>20260 Linden Ln</t>
  </si>
  <si>
    <t>Brookfield</t>
  </si>
  <si>
    <t>414.356.3448</t>
  </si>
  <si>
    <t>Andrew.Kinderman@wausausupply.com</t>
  </si>
  <si>
    <t>Breton Nylen</t>
  </si>
  <si>
    <t>Southcentral WI | Rockford IL</t>
  </si>
  <si>
    <t>5521 Shamrock Road</t>
  </si>
  <si>
    <t>Waunakee</t>
  </si>
  <si>
    <t>608.852.5041</t>
  </si>
  <si>
    <t>Breton.Nylen@wausausupply.com</t>
  </si>
  <si>
    <t>XL</t>
  </si>
  <si>
    <t>Gary Penhale</t>
  </si>
  <si>
    <t>Upper Michigan</t>
  </si>
  <si>
    <t>466 County Road 510</t>
  </si>
  <si>
    <t>Negaunee</t>
  </si>
  <si>
    <t>906.362.7398</t>
  </si>
  <si>
    <t>gary.penhale@wausausupply.com</t>
  </si>
  <si>
    <t>Associate Territory Manager</t>
  </si>
  <si>
    <t>Milwaukee/Madison</t>
  </si>
  <si>
    <t>524 70th St</t>
  </si>
  <si>
    <t>Kenosha</t>
  </si>
  <si>
    <t>262.909.0297</t>
  </si>
  <si>
    <t>Ryan.McDermid@wausausupply.com</t>
  </si>
  <si>
    <t>Central Wisconsin | Fox Valley</t>
  </si>
  <si>
    <t>830 Steuben Street</t>
  </si>
  <si>
    <t>715.301.6124</t>
  </si>
  <si>
    <t>chris.berger@wausausupply.com</t>
  </si>
  <si>
    <t>Western Wisconsin | NW Wisconsin</t>
  </si>
  <si>
    <t>242 E Tyler Avenue</t>
  </si>
  <si>
    <t>Fall Creek</t>
  </si>
  <si>
    <t>715.393.7754</t>
  </si>
  <si>
    <t>Collin.Wuebben@wausausupply.com</t>
  </si>
  <si>
    <t>Brian Luptak</t>
  </si>
  <si>
    <t>Rocky Mountains Region</t>
  </si>
  <si>
    <t>6715 Pinto Drive</t>
  </si>
  <si>
    <t>Shepherd</t>
  </si>
  <si>
    <t>MT</t>
  </si>
  <si>
    <t>406.320.2628</t>
  </si>
  <si>
    <t>brian.luptak@wausausupply.com</t>
  </si>
  <si>
    <t>Max Hammerstrom</t>
  </si>
  <si>
    <t>Max.Hammerstrom@wausausupply.com</t>
  </si>
  <si>
    <t>M</t>
  </si>
  <si>
    <t>Dalton Lemburg</t>
  </si>
  <si>
    <t>C</t>
  </si>
  <si>
    <t>E. Montana | N. Wyoming</t>
  </si>
  <si>
    <t>Chad Lemburg</t>
  </si>
  <si>
    <t>2003 Lake Hills Dr</t>
  </si>
  <si>
    <t>Billings</t>
  </si>
  <si>
    <t>406.451.6337</t>
  </si>
  <si>
    <t>dalton.lemburg@wausausupply.com</t>
  </si>
  <si>
    <t>Ryan Froemke</t>
  </si>
  <si>
    <t>North Dakota</t>
  </si>
  <si>
    <t>731 5th Avenue NW</t>
  </si>
  <si>
    <t>Valley City</t>
  </si>
  <si>
    <t>ND</t>
  </si>
  <si>
    <t>715.225.0022</t>
  </si>
  <si>
    <t>ryan.froemke@wausausupply.com</t>
  </si>
  <si>
    <t>Micah Browning</t>
  </si>
  <si>
    <t>S. Wyoming | W. Neb | N. CO Border | N.W. Kansas</t>
  </si>
  <si>
    <t xml:space="preserve">Andrew Stuart 
(Cheyenne, WY Only) </t>
  </si>
  <si>
    <t>1518 Mockingbird Dr</t>
  </si>
  <si>
    <t>Scottsbluff</t>
  </si>
  <si>
    <t>715.218.6006</t>
  </si>
  <si>
    <t>micah.browning@wausausupply.com</t>
  </si>
  <si>
    <t>Danny Taylor</t>
  </si>
  <si>
    <t>Northern Colorado</t>
  </si>
  <si>
    <t>Andrew Stuart</t>
  </si>
  <si>
    <t>3924 Newton St</t>
  </si>
  <si>
    <t>Denver</t>
  </si>
  <si>
    <t>CO</t>
  </si>
  <si>
    <t>303.264.8721</t>
  </si>
  <si>
    <t>daniel.taylor@wausausupply.com</t>
  </si>
  <si>
    <t>Graig Sells</t>
  </si>
  <si>
    <t>Southern Colorado</t>
  </si>
  <si>
    <t>Kevin Muller</t>
  </si>
  <si>
    <t>5188 Horned Owl Way</t>
  </si>
  <si>
    <t>Parker</t>
  </si>
  <si>
    <t>303.519.3642</t>
  </si>
  <si>
    <t>graig.sells@wausausupply.com</t>
  </si>
  <si>
    <t>Josh Moller</t>
  </si>
  <si>
    <t>Western SD / Eastern WY</t>
  </si>
  <si>
    <t>5053 Shelby Ave, Apt 101</t>
  </si>
  <si>
    <t>Rapid City</t>
  </si>
  <si>
    <t>SD</t>
  </si>
  <si>
    <t>605.608.0576</t>
  </si>
  <si>
    <t>josh.moller@wausausupply.com</t>
  </si>
  <si>
    <t>Kelly Hardrick</t>
  </si>
  <si>
    <t>Southwest Colorado | Northern New Mexico</t>
  </si>
  <si>
    <t>Andrew Stuart &amp; 
Kevin Muller</t>
  </si>
  <si>
    <t>834 R Rd</t>
  </si>
  <si>
    <t>Mack</t>
  </si>
  <si>
    <t>970-822-2852</t>
  </si>
  <si>
    <t>kelly.hardrick@wausausupply.com</t>
  </si>
  <si>
    <t>E. Montana | NE WY | Black Hills</t>
  </si>
  <si>
    <t>2081 Lake Hills Dr</t>
  </si>
  <si>
    <t>406.320.2252</t>
  </si>
  <si>
    <t>chad.lemburg@wausausupply.com</t>
  </si>
  <si>
    <t>2804 Roslyn Street, Unit #1</t>
  </si>
  <si>
    <t>303.550.6569</t>
  </si>
  <si>
    <t>andrew.stuart@wausausupply.com</t>
  </si>
  <si>
    <t>14353 E 1st Dr, Unit 206</t>
  </si>
  <si>
    <t>Aurora</t>
  </si>
  <si>
    <t>719-680-1281</t>
  </si>
  <si>
    <t>kevin.muller@dksiding.com</t>
  </si>
  <si>
    <t>Joe Robinson</t>
  </si>
  <si>
    <t>Southern Great Lakes</t>
  </si>
  <si>
    <t>1609 Grange Rd</t>
  </si>
  <si>
    <t>DeKalb</t>
  </si>
  <si>
    <t>715.660.0323</t>
  </si>
  <si>
    <t>joe.robinson@wausausupply.com</t>
  </si>
  <si>
    <t>Paul Schuh</t>
  </si>
  <si>
    <t>paul.schuh@wausausupply.com</t>
  </si>
  <si>
    <t>Bradley Moeller</t>
  </si>
  <si>
    <t>D</t>
  </si>
  <si>
    <t xml:space="preserve">West central IL / SE Iowa </t>
  </si>
  <si>
    <t>Nate Prehm</t>
  </si>
  <si>
    <t>5003 306th St</t>
  </si>
  <si>
    <t>Dixon</t>
  </si>
  <si>
    <t>IA</t>
  </si>
  <si>
    <t>715.660.1077</t>
  </si>
  <si>
    <t>Bradley.Moeller@wausausupply.com</t>
  </si>
  <si>
    <t>Jacob Cabbage</t>
  </si>
  <si>
    <t>Western Iowa</t>
  </si>
  <si>
    <t>1235 65th Pl</t>
  </si>
  <si>
    <t>West Des Moines</t>
  </si>
  <si>
    <t>715.350.0430</t>
  </si>
  <si>
    <t>jacob.cabbage@wausausupply.com</t>
  </si>
  <si>
    <t>Sam Noel</t>
  </si>
  <si>
    <t>NE Iowa</t>
  </si>
  <si>
    <t>206 Harvest Lane</t>
  </si>
  <si>
    <t>Shell Rock</t>
  </si>
  <si>
    <t>715.297.3146</t>
  </si>
  <si>
    <t>samuel.noel@wausausupply.com</t>
  </si>
  <si>
    <t>Stephen Frueh</t>
  </si>
  <si>
    <t>Central IL, S. Chicago</t>
  </si>
  <si>
    <t>Brian Stanislavski</t>
  </si>
  <si>
    <t>613 Grove Lane</t>
  </si>
  <si>
    <t>Forest Park</t>
  </si>
  <si>
    <t>715.350.9091</t>
  </si>
  <si>
    <t>stephen.frueh@wausausupply.com</t>
  </si>
  <si>
    <t>Kathy Wesolowski</t>
  </si>
  <si>
    <t>NE. IL | N. Chicago</t>
  </si>
  <si>
    <t>301 Deming Place</t>
  </si>
  <si>
    <t>Westmont</t>
  </si>
  <si>
    <t>715.527.8657</t>
  </si>
  <si>
    <t>katarzyna.wesolowski@wausausupply.com</t>
  </si>
  <si>
    <t>Iowa</t>
  </si>
  <si>
    <t>7263 Hudson Heights</t>
  </si>
  <si>
    <t>Hudson</t>
  </si>
  <si>
    <t>715.350.0080</t>
  </si>
  <si>
    <t>nathan.prehm@dksiding.com</t>
  </si>
  <si>
    <t>Central and NE IL</t>
  </si>
  <si>
    <t>12503 W 102nd Ave</t>
  </si>
  <si>
    <t>St.John</t>
  </si>
  <si>
    <t>IN</t>
  </si>
  <si>
    <t>312.339.6569</t>
  </si>
  <si>
    <t>brian.stanislavski@dksiding.com</t>
  </si>
  <si>
    <t>Sr. Regional Manager</t>
  </si>
  <si>
    <t>Allison Siler</t>
  </si>
  <si>
    <t>South Central Region</t>
  </si>
  <si>
    <t>3818 S. Flora</t>
  </si>
  <si>
    <t>Wichita</t>
  </si>
  <si>
    <t>715.563.2580</t>
  </si>
  <si>
    <t>allison.siler@wausausupply.com</t>
  </si>
  <si>
    <t>Matt Bretches</t>
  </si>
  <si>
    <t>Great Plains Region</t>
  </si>
  <si>
    <t>314 N Lark Ln</t>
  </si>
  <si>
    <t>715.590.4196</t>
  </si>
  <si>
    <t>matt.bretches@wausausupply.com</t>
  </si>
  <si>
    <t>F</t>
  </si>
  <si>
    <t>Eastern Kansas | Western Missouri</t>
  </si>
  <si>
    <t>Eric Bond</t>
  </si>
  <si>
    <t>Allan McGill</t>
  </si>
  <si>
    <t>Southeast Nebraska</t>
  </si>
  <si>
    <t>6728 Glass Ridge Dr</t>
  </si>
  <si>
    <t>Lincoln</t>
  </si>
  <si>
    <t>402.658.9213</t>
  </si>
  <si>
    <t>allan.mcgill@wausausupply.com</t>
  </si>
  <si>
    <t>Nick Cunningham</t>
  </si>
  <si>
    <t>Oklahoma</t>
  </si>
  <si>
    <t>Chad Jenkins</t>
  </si>
  <si>
    <t xml:space="preserve">404 N. 1st </t>
  </si>
  <si>
    <t>Tyro</t>
  </si>
  <si>
    <t xml:space="preserve"> </t>
  </si>
  <si>
    <t>662.679.0408</t>
  </si>
  <si>
    <t>nick.cunningham@wausausupply.com</t>
  </si>
  <si>
    <t>Kansas State</t>
  </si>
  <si>
    <t>Southeastern Nebraska| Northwestern Missouri|Kansas</t>
  </si>
  <si>
    <t>107 Park Drive Place</t>
  </si>
  <si>
    <t>Hickman</t>
  </si>
  <si>
    <t>402.681.5502</t>
  </si>
  <si>
    <t>eric.bond@wausausupply.com</t>
  </si>
  <si>
    <t>4454 Lakeview CT.</t>
  </si>
  <si>
    <t>Greg Wilcox</t>
  </si>
  <si>
    <t>Ozarks Region</t>
  </si>
  <si>
    <t>11751 new London Gravel Rd</t>
  </si>
  <si>
    <t>Hannibal</t>
  </si>
  <si>
    <t>MO</t>
  </si>
  <si>
    <t>636.445.4305</t>
  </si>
  <si>
    <t>greg.wilcox@wausausupply.com</t>
  </si>
  <si>
    <t>Betty Jester</t>
  </si>
  <si>
    <t>Southwest Missouri</t>
  </si>
  <si>
    <t>1528 N Marshall St</t>
  </si>
  <si>
    <t>Marshfield</t>
  </si>
  <si>
    <t>715.577.0142</t>
  </si>
  <si>
    <t>betty.jester@wausausupply.com</t>
  </si>
  <si>
    <t>Jon Strini</t>
  </si>
  <si>
    <t>Eastern Missouri</t>
  </si>
  <si>
    <t>3035 Eagle Branch Circle</t>
  </si>
  <si>
    <t>Saint Paul</t>
  </si>
  <si>
    <t>jonathan.strini@wausausupply.com</t>
  </si>
  <si>
    <t>Jason Kell</t>
  </si>
  <si>
    <t>So. Illinois | E. Missouri</t>
  </si>
  <si>
    <t>25 Blue Bell Ln</t>
  </si>
  <si>
    <t>Highland</t>
  </si>
  <si>
    <t>314.399.2690</t>
  </si>
  <si>
    <t>jason.kell@wausausupply.com</t>
  </si>
  <si>
    <t>Andrew Corey</t>
  </si>
  <si>
    <t>Northern Arkansas</t>
  </si>
  <si>
    <t xml:space="preserve">2530 CR 7360 </t>
  </si>
  <si>
    <t xml:space="preserve">Caulfield </t>
  </si>
  <si>
    <t>612.760.2298</t>
  </si>
  <si>
    <t>andrew.corey@wausausupply.com</t>
  </si>
  <si>
    <t>Carson Jenkins</t>
  </si>
  <si>
    <t>Southern Arkansas</t>
  </si>
  <si>
    <t>500 S Birch St</t>
  </si>
  <si>
    <t xml:space="preserve">Harrison </t>
  </si>
  <si>
    <t>AR</t>
  </si>
  <si>
    <t>870-243-8893</t>
  </si>
  <si>
    <t>carson.jenkins@wausausupply.com</t>
  </si>
  <si>
    <t>St. Louis</t>
  </si>
  <si>
    <t>Southern Missouri | Arkansas</t>
  </si>
  <si>
    <t>501.690.4339</t>
  </si>
  <si>
    <t>chad.jenkins@wausausupply.com</t>
  </si>
  <si>
    <t>Chris Buus</t>
  </si>
  <si>
    <t>North Central Region</t>
  </si>
  <si>
    <t>446 Southview Drive</t>
  </si>
  <si>
    <t>Brookings</t>
  </si>
  <si>
    <t>715.218.8131</t>
  </si>
  <si>
    <t>chris.buus@wausausupply.com</t>
  </si>
  <si>
    <t>Jordan Plehal</t>
  </si>
  <si>
    <t xml:space="preserve">OPEN POSITION </t>
  </si>
  <si>
    <t>I</t>
  </si>
  <si>
    <t>Central / Eastern South Dakota</t>
  </si>
  <si>
    <t>Matt Sobocinski</t>
  </si>
  <si>
    <t>Greg Hillesheim</t>
  </si>
  <si>
    <t>Central Minnesota</t>
  </si>
  <si>
    <t>Patrick Welch</t>
  </si>
  <si>
    <t>9409 Glenborough Dr</t>
  </si>
  <si>
    <t>Elko New Market</t>
  </si>
  <si>
    <t>715.350.1591</t>
  </si>
  <si>
    <t>greg.hillsheim@wausausupply.com</t>
  </si>
  <si>
    <t>Jason Kenney</t>
  </si>
  <si>
    <t>Northern Minnesota</t>
  </si>
  <si>
    <t>130 Leaf River Road</t>
  </si>
  <si>
    <t>Bluffton</t>
  </si>
  <si>
    <t>715.218.8182</t>
  </si>
  <si>
    <t>jason.kenney@wausausupply.com</t>
  </si>
  <si>
    <t>Calvin Pehle</t>
  </si>
  <si>
    <t xml:space="preserve">7222 Marquette Ave NE </t>
  </si>
  <si>
    <t>Otsego</t>
  </si>
  <si>
    <t>612-246-5492</t>
  </si>
  <si>
    <t>Calvin.Pehle@wausausupply.com</t>
  </si>
  <si>
    <t>Tommy Carrigan</t>
  </si>
  <si>
    <t>SE S. Dakota, NW Iowa, NE Nebraska</t>
  </si>
  <si>
    <t>1551 Oakwood Drive</t>
  </si>
  <si>
    <t>Carroll</t>
  </si>
  <si>
    <t>605.850.9702</t>
  </si>
  <si>
    <t>tommy.carrigan@wausausupply.com</t>
  </si>
  <si>
    <t>Tamara Lewey</t>
  </si>
  <si>
    <t>Twin Cities | Southeastern Minnesota</t>
  </si>
  <si>
    <t xml:space="preserve">1352 N 10th St </t>
  </si>
  <si>
    <t>Lake City</t>
  </si>
  <si>
    <t>715.218.8160</t>
  </si>
  <si>
    <t>tamara.lewey@wausausupply.com</t>
  </si>
  <si>
    <t>Justin Evans</t>
  </si>
  <si>
    <t>NW Minnesota</t>
  </si>
  <si>
    <t>23872 County Road 144</t>
  </si>
  <si>
    <t>Detroit Lakes</t>
  </si>
  <si>
    <t>715.660.0465</t>
  </si>
  <si>
    <t>justin.evans@wausausupply.com</t>
  </si>
  <si>
    <t>6480 153rd Way NW</t>
  </si>
  <si>
    <t>Ramsey</t>
  </si>
  <si>
    <t>715.383.9066</t>
  </si>
  <si>
    <t>patrick.welch@wausausupply.com</t>
  </si>
  <si>
    <t>Central / Eastern South Dakota, SE S. Dakota, NW Iowa, NE Nebraska</t>
  </si>
  <si>
    <t xml:space="preserve">1113 E Beechnut St </t>
  </si>
  <si>
    <t xml:space="preserve">Brandon </t>
  </si>
  <si>
    <t>605-351-5876</t>
  </si>
  <si>
    <t>Matthew.Sobocinski@dksiding.com</t>
  </si>
  <si>
    <t>Dusty Burgess</t>
  </si>
  <si>
    <t>Northwest Region</t>
  </si>
  <si>
    <t>1743 S. 12th Street West</t>
  </si>
  <si>
    <t>Missoula</t>
  </si>
  <si>
    <t>406.210.0742</t>
  </si>
  <si>
    <t>dusty.burgess@wausausupply.com</t>
  </si>
  <si>
    <t>Keith Seubert</t>
  </si>
  <si>
    <t>222944 Grentree Road</t>
  </si>
  <si>
    <t>Marathon</t>
  </si>
  <si>
    <t>Keith.Seubert@wausausupply.com</t>
  </si>
  <si>
    <t>Bryan Davis</t>
  </si>
  <si>
    <t>K</t>
  </si>
  <si>
    <t>Eastern Washington | Northern Idaho</t>
  </si>
  <si>
    <t>Brandon O'Neil</t>
  </si>
  <si>
    <t>316 W Tennessee Ave</t>
  </si>
  <si>
    <t>Post Falls</t>
  </si>
  <si>
    <t>715.660.6721</t>
  </si>
  <si>
    <t>bryan.davis@wausausupply.com</t>
  </si>
  <si>
    <t>Kerry Jones</t>
  </si>
  <si>
    <t>Salt Lake City South</t>
  </si>
  <si>
    <t>Todd Memmott</t>
  </si>
  <si>
    <t>14351 Bridgefield Drive</t>
  </si>
  <si>
    <t>Draper</t>
  </si>
  <si>
    <t>UT</t>
  </si>
  <si>
    <t>385.272.5112</t>
  </si>
  <si>
    <t>kerry.jones@wausausupply.com</t>
  </si>
  <si>
    <t>Southwest Idaho</t>
  </si>
  <si>
    <t>Sammy Saunders</t>
  </si>
  <si>
    <t>Southwest Montana</t>
  </si>
  <si>
    <t>Pete Tompers</t>
  </si>
  <si>
    <t>760 Sugarloaf Loop</t>
  </si>
  <si>
    <t>Butte</t>
  </si>
  <si>
    <t>406.224.1485</t>
  </si>
  <si>
    <t>sammy.saunders@wausausupply.com</t>
  </si>
  <si>
    <t>Tristan Drollinger</t>
  </si>
  <si>
    <t>Eastern Idaho</t>
  </si>
  <si>
    <t>3580 W. Broadway St</t>
  </si>
  <si>
    <t>Idaho Falls</t>
  </si>
  <si>
    <t>208.419.9222</t>
  </si>
  <si>
    <t>tristan.drollinger@wausausupply.com</t>
  </si>
  <si>
    <t>Brian Kneiper</t>
  </si>
  <si>
    <t>Western Montana</t>
  </si>
  <si>
    <t>3075 Rustler Dr</t>
  </si>
  <si>
    <t>406.481.4036</t>
  </si>
  <si>
    <t>brian.kneiper@wausausupply.com</t>
  </si>
  <si>
    <t>Bert Baron</t>
  </si>
  <si>
    <t>North Salt Lake City, North</t>
  </si>
  <si>
    <t xml:space="preserve">173 S Angel St. </t>
  </si>
  <si>
    <t>Layton</t>
  </si>
  <si>
    <t>801.516.8240</t>
  </si>
  <si>
    <t>bert.baron@wausausupply.com</t>
  </si>
  <si>
    <t>Utah</t>
  </si>
  <si>
    <t>1807 S. Lake Crest Road</t>
  </si>
  <si>
    <t>Bountiful</t>
  </si>
  <si>
    <t>801.560.4996</t>
  </si>
  <si>
    <t>todd.memmott@wausausupply.com</t>
  </si>
  <si>
    <t>Washington State, No. Idaho, W. Montana</t>
  </si>
  <si>
    <t>4206 W. Ballard Road</t>
  </si>
  <si>
    <t>Spokane</t>
  </si>
  <si>
    <t>WA</t>
  </si>
  <si>
    <t>509.723.6008</t>
  </si>
  <si>
    <t>brandon.oneil@wausausupply.com</t>
  </si>
  <si>
    <t xml:space="preserve">Southwest/Central Montana </t>
  </si>
  <si>
    <t>10 Stonegate Road</t>
  </si>
  <si>
    <t>Great Falls</t>
  </si>
  <si>
    <t>406.868.6905</t>
  </si>
  <si>
    <t>pete.tompers@wausausupply.com</t>
  </si>
  <si>
    <t>Southern Idaho</t>
  </si>
  <si>
    <t>Director of Sales - East</t>
  </si>
  <si>
    <t>Ryan Gerulski</t>
  </si>
  <si>
    <t>2439 North Deer Valley Dr.</t>
  </si>
  <si>
    <t>Midland</t>
  </si>
  <si>
    <t>989.423.9584</t>
  </si>
  <si>
    <t>Ryan.Gerulski@wausausupply.com</t>
  </si>
  <si>
    <t xml:space="preserve">Eastern Great Lakes Region </t>
  </si>
  <si>
    <t>Nick Beauchamp</t>
  </si>
  <si>
    <t>209 Tuzigoot Lane</t>
  </si>
  <si>
    <t>920.737.5857</t>
  </si>
  <si>
    <t>Nick.Beauchamp@wausausupply.com</t>
  </si>
  <si>
    <t>Nicole Schwedler</t>
  </si>
  <si>
    <t>Central Indiana &amp; Northern Indiana</t>
  </si>
  <si>
    <t xml:space="preserve">John Babcock </t>
  </si>
  <si>
    <t>5099 Pine Hill Drive</t>
  </si>
  <si>
    <t>Noblesville</t>
  </si>
  <si>
    <t>Nicole.Schwedler@wausausupply.com</t>
  </si>
  <si>
    <t xml:space="preserve">Northern Indiana </t>
  </si>
  <si>
    <t>Ryan Edwards</t>
  </si>
  <si>
    <t>SW Ohio &amp; Southern Indiana</t>
  </si>
  <si>
    <t>OPEN</t>
  </si>
  <si>
    <t>7090 West Maple Grove Rd.</t>
  </si>
  <si>
    <t>Ellettsville</t>
  </si>
  <si>
    <t>812.320.8514</t>
  </si>
  <si>
    <t>Ryan.Edwards@wausausupply.com</t>
  </si>
  <si>
    <t>Brian Palmateer</t>
  </si>
  <si>
    <t>Southwest (Lower) Michigan</t>
  </si>
  <si>
    <t>Gary Moore</t>
  </si>
  <si>
    <t>16160 Donald Rd</t>
  </si>
  <si>
    <t>Capac</t>
  </si>
  <si>
    <t>303.263.8486</t>
  </si>
  <si>
    <t>brian.palmateer@wausausupply.com</t>
  </si>
  <si>
    <t>Stephanie Taylor</t>
  </si>
  <si>
    <t>Northern (Lower) Michigan</t>
  </si>
  <si>
    <t>Tim Weismiller</t>
  </si>
  <si>
    <t>4461 Lake Manuka Rd</t>
  </si>
  <si>
    <t xml:space="preserve">Gaylord </t>
  </si>
  <si>
    <t>989.491.7221</t>
  </si>
  <si>
    <t>stephanie.taylor@wausausupply.com</t>
  </si>
  <si>
    <t>John Hotter</t>
  </si>
  <si>
    <t>South Central/South Eastern (Lower) Michigan</t>
  </si>
  <si>
    <t>163 West Saint Clair Street</t>
  </si>
  <si>
    <t>Romeo</t>
  </si>
  <si>
    <t>248.563.8146</t>
  </si>
  <si>
    <t>john.hotter@wausausupply.com</t>
  </si>
  <si>
    <t>David Carbone</t>
  </si>
  <si>
    <t>Northern Ohio</t>
  </si>
  <si>
    <t>Dave Carbone</t>
  </si>
  <si>
    <t>985 Red Fern Circle</t>
  </si>
  <si>
    <t>Kent</t>
  </si>
  <si>
    <t>330.221.2399</t>
  </si>
  <si>
    <t>dave.carbone@wausausupply.com</t>
  </si>
  <si>
    <t>Marvin Dockstader</t>
  </si>
  <si>
    <t>Central Ohio / Southeast Ohio</t>
  </si>
  <si>
    <t>N/A</t>
  </si>
  <si>
    <t>1358 Bayshore Dr. Apt 2a</t>
  </si>
  <si>
    <t>Columbus</t>
  </si>
  <si>
    <t>614.257.7011</t>
  </si>
  <si>
    <t>Marvin.Dockstader@wausausupply.com</t>
  </si>
  <si>
    <t>5315 West Otsego Lake Drive</t>
  </si>
  <si>
    <t>Gaylord</t>
  </si>
  <si>
    <t>989.370.4519</t>
  </si>
  <si>
    <t xml:space="preserve">Tim.weismiller@wausausupply.com  </t>
  </si>
  <si>
    <t>John Babcock</t>
  </si>
  <si>
    <t xml:space="preserve">Northern/Central Indiana </t>
  </si>
  <si>
    <t>6 Shady Lane</t>
  </si>
  <si>
    <t>Carmel</t>
  </si>
  <si>
    <t>317.771.5109</t>
  </si>
  <si>
    <t>john.babcock@wausausupply.com</t>
  </si>
  <si>
    <t>Michael Stratton</t>
  </si>
  <si>
    <t>1112 Linwwod Ave. SW</t>
  </si>
  <si>
    <t>North Canton</t>
  </si>
  <si>
    <t>330.472.7735</t>
  </si>
  <si>
    <t>Michael.Stratton@dksiding.com</t>
  </si>
  <si>
    <t>Southern Michigan</t>
  </si>
  <si>
    <t>5469 Griffin Hwy</t>
  </si>
  <si>
    <t>Olivet</t>
  </si>
  <si>
    <t>989.294.0189</t>
  </si>
  <si>
    <t>Gary.Moore@wausausupply.com</t>
  </si>
  <si>
    <t>Jeremy Sellars</t>
  </si>
  <si>
    <t>Tennessee River Valley Region</t>
  </si>
  <si>
    <t>3117 Vine Street</t>
  </si>
  <si>
    <t>White Pine</t>
  </si>
  <si>
    <t>865.214.1150</t>
  </si>
  <si>
    <t>Jeremy.Sellars@wausausupply.com</t>
  </si>
  <si>
    <t>Megan Eno</t>
  </si>
  <si>
    <t>N614 Carley Rd</t>
  </si>
  <si>
    <t>Antigo</t>
  </si>
  <si>
    <t>715.573.9536</t>
  </si>
  <si>
    <t>megan.eno@wausausupply.com</t>
  </si>
  <si>
    <t>Christopher Hudson</t>
  </si>
  <si>
    <t>H</t>
  </si>
  <si>
    <t>Middle Tennessee</t>
  </si>
  <si>
    <t>Jacob Murray</t>
  </si>
  <si>
    <t>4113 Bungee Way</t>
  </si>
  <si>
    <t>Murfreesboro</t>
  </si>
  <si>
    <t>629-395-2735</t>
  </si>
  <si>
    <t>christopher.hudson@wausausupply.com</t>
  </si>
  <si>
    <t>Lane Draper</t>
  </si>
  <si>
    <t>Northern Alabama | Southern Alabama</t>
  </si>
  <si>
    <t>Chad Kempfer</t>
  </si>
  <si>
    <t>2028 Shandwick Terrace</t>
  </si>
  <si>
    <t>Birmingham</t>
  </si>
  <si>
    <t>AL</t>
  </si>
  <si>
    <t>205.962.6913</t>
  </si>
  <si>
    <t>Lane.Draper@wausausupply.com</t>
  </si>
  <si>
    <t>Lori Bryant</t>
  </si>
  <si>
    <t>Eastern Tennessee | SE Kentucky</t>
  </si>
  <si>
    <t>Terry Brown</t>
  </si>
  <si>
    <t>1520 Pine Springs Rd</t>
  </si>
  <si>
    <t>Knoxville</t>
  </si>
  <si>
    <t>865-210-2847</t>
  </si>
  <si>
    <t>lori.bryant@wausausupply.com</t>
  </si>
  <si>
    <t>Jim Allman</t>
  </si>
  <si>
    <t>Kentucky</t>
  </si>
  <si>
    <t>James Crutcher</t>
  </si>
  <si>
    <t>5505 S 850 W</t>
  </si>
  <si>
    <t>Lexington</t>
  </si>
  <si>
    <t>812.230.6775</t>
  </si>
  <si>
    <t>jim.allman@wausausupply.com</t>
  </si>
  <si>
    <t>Shana Cooper</t>
  </si>
  <si>
    <t>Georgia</t>
  </si>
  <si>
    <t>Andy Chambers</t>
  </si>
  <si>
    <t>5400 Kimbro St.</t>
  </si>
  <si>
    <t>Chattanooga</t>
  </si>
  <si>
    <t>470-222-9300</t>
  </si>
  <si>
    <t>Shana.Cooper@wausausupply.com</t>
  </si>
  <si>
    <t xml:space="preserve">600 East Main St. </t>
  </si>
  <si>
    <t>Dowelltown</t>
  </si>
  <si>
    <t>615.418.1186</t>
  </si>
  <si>
    <t>jacob.murray@wausausupply.com</t>
  </si>
  <si>
    <t>1132 Hunters Geln Dr</t>
  </si>
  <si>
    <t>Woodstock</t>
  </si>
  <si>
    <t>GA</t>
  </si>
  <si>
    <t>andrew.chambers@wausausupply.com</t>
  </si>
  <si>
    <t>2924 Cannons Pt Ln</t>
  </si>
  <si>
    <t>McDaniels</t>
  </si>
  <si>
    <t>KY</t>
  </si>
  <si>
    <t>715.660.6924</t>
  </si>
  <si>
    <t>James.Crutcher@wausausupply.com</t>
  </si>
  <si>
    <t>409 Manchester Dr</t>
  </si>
  <si>
    <t>Guntersville</t>
  </si>
  <si>
    <t>256.444.5591</t>
  </si>
  <si>
    <t>Chad.Kempfer@dksiding.com</t>
  </si>
  <si>
    <t>East Tennessee | SE Kentucky</t>
  </si>
  <si>
    <t>7301 Washington Pike</t>
  </si>
  <si>
    <t>Corryton</t>
  </si>
  <si>
    <t>865.243.7075</t>
  </si>
  <si>
    <t>Terry.Brown@wausausupply.com</t>
  </si>
  <si>
    <t>Paul Connelly</t>
  </si>
  <si>
    <t>Northeast Region</t>
  </si>
  <si>
    <t>32 Sycamore Drive</t>
  </si>
  <si>
    <t>Drums</t>
  </si>
  <si>
    <t>PA</t>
  </si>
  <si>
    <t>570.205.3028</t>
  </si>
  <si>
    <t>Paul.Connelly@wausausupply.com</t>
  </si>
  <si>
    <t>N</t>
  </si>
  <si>
    <t>Aaron Foreman</t>
  </si>
  <si>
    <t>Eastern New York State &amp; Hudson Valley</t>
  </si>
  <si>
    <t>56 Skylark Dr</t>
  </si>
  <si>
    <t>Ballston Spa</t>
  </si>
  <si>
    <t>NY</t>
  </si>
  <si>
    <t>12020-2665</t>
  </si>
  <si>
    <t>518.948.7030</t>
  </si>
  <si>
    <t>aaron.foreman@wausausupply.com</t>
  </si>
  <si>
    <t>Matt Barnes</t>
  </si>
  <si>
    <t>MD No. VA</t>
  </si>
  <si>
    <t>304 Cheshire Ln</t>
  </si>
  <si>
    <t>Bel Air</t>
  </si>
  <si>
    <t>MD</t>
  </si>
  <si>
    <t>21014-2552</t>
  </si>
  <si>
    <t>410-375-6617</t>
  </si>
  <si>
    <t>matt.barnes@wausausupply.com</t>
  </si>
  <si>
    <t>Jennifer Hollstein</t>
  </si>
  <si>
    <t xml:space="preserve">N. NJ </t>
  </si>
  <si>
    <t>106 Woodstone Rd</t>
  </si>
  <si>
    <t>Rockaway</t>
  </si>
  <si>
    <t>NJ</t>
  </si>
  <si>
    <t>07866-4114</t>
  </si>
  <si>
    <t>973-274-5401</t>
  </si>
  <si>
    <t>jennifer.hollstein@wausausupply.com</t>
  </si>
  <si>
    <t>Jeffrey Kahler</t>
  </si>
  <si>
    <t xml:space="preserve">Southeast PA </t>
  </si>
  <si>
    <t>1065 E 11th st</t>
  </si>
  <si>
    <t>Pennsburg</t>
  </si>
  <si>
    <t>267.443.8084</t>
  </si>
  <si>
    <t>Jeffrey.Kahler@wausausupply.com</t>
  </si>
  <si>
    <t>Omar Nijmeh</t>
  </si>
  <si>
    <t xml:space="preserve">Northeast PA </t>
  </si>
  <si>
    <t>339 Machell Ave</t>
  </si>
  <si>
    <t>Dallas</t>
  </si>
  <si>
    <t>18612-1633</t>
  </si>
  <si>
    <t>272-892-0871</t>
  </si>
  <si>
    <t>omar.nijmeh@wausausupply.com</t>
  </si>
  <si>
    <t xml:space="preserve">Northwest PA | W NYS </t>
  </si>
  <si>
    <t>Brian Gates</t>
  </si>
  <si>
    <t xml:space="preserve"> Central New York State</t>
  </si>
  <si>
    <t>5057 Kasson Road</t>
  </si>
  <si>
    <t>Syracuse</t>
  </si>
  <si>
    <t>315.720.7631</t>
  </si>
  <si>
    <t>Brian.Gates@wausausupply.com</t>
  </si>
  <si>
    <t>Joseph Ventura</t>
  </si>
  <si>
    <t>Eastern Shore MD | DE  S. NJ</t>
  </si>
  <si>
    <t>638 Warren Drive</t>
  </si>
  <si>
    <t xml:space="preserve">Middletown </t>
  </si>
  <si>
    <t>DE</t>
  </si>
  <si>
    <t>302.513.8850</t>
  </si>
  <si>
    <t>joseph.ventura@wausausupply.com</t>
  </si>
  <si>
    <t>Mike Ulf</t>
  </si>
  <si>
    <t>SW PA | West Virginia</t>
  </si>
  <si>
    <t>172 Druid Dr</t>
  </si>
  <si>
    <t>McMurray</t>
  </si>
  <si>
    <t>724.787.2984</t>
  </si>
  <si>
    <t>michael.ulf@wausausupply.com</t>
  </si>
  <si>
    <t>Bill Bittle</t>
  </si>
  <si>
    <t>Mid-Atlantic Region</t>
  </si>
  <si>
    <t>5634 Newton Way</t>
  </si>
  <si>
    <t>Maiden</t>
  </si>
  <si>
    <t>980.416.0785</t>
  </si>
  <si>
    <t>william.bittle@wausausupply.com</t>
  </si>
  <si>
    <t>jordan.plehal@wausausupply.com</t>
  </si>
  <si>
    <t>Allen Sizemore</t>
  </si>
  <si>
    <t>South Carolina</t>
  </si>
  <si>
    <t>Craig Anglemyer</t>
  </si>
  <si>
    <t>114 Bowyer Ln.</t>
  </si>
  <si>
    <t>Chapin</t>
  </si>
  <si>
    <t>SC</t>
  </si>
  <si>
    <t>803.722.9345</t>
  </si>
  <si>
    <t>allen.sizemore@wausausupply.com</t>
  </si>
  <si>
    <t>Diane Vena/Velasquez</t>
  </si>
  <si>
    <t>East North Carolina</t>
  </si>
  <si>
    <t>Elijah Geisler</t>
  </si>
  <si>
    <t>704-936-9135</t>
  </si>
  <si>
    <t>Diane.Velasquez@wausausupply.com</t>
  </si>
  <si>
    <t>Lori Plesser</t>
  </si>
  <si>
    <t>West North Carolina</t>
  </si>
  <si>
    <t>Doug Diebolt</t>
  </si>
  <si>
    <t>980-214-9505</t>
  </si>
  <si>
    <t>lori.plesser@wausausupply.com</t>
  </si>
  <si>
    <t>Virginia</t>
  </si>
  <si>
    <t>West Virginia</t>
  </si>
  <si>
    <t>7 Richmond Ln.</t>
  </si>
  <si>
    <t>Blythewood</t>
  </si>
  <si>
    <t>839.223.3524</t>
  </si>
  <si>
    <t>craig.anglemyer@dksiding.com</t>
  </si>
  <si>
    <t>elijah.geisler@dksiding.com</t>
  </si>
  <si>
    <t>Locations</t>
  </si>
  <si>
    <t xml:space="preserve">Branch # </t>
  </si>
  <si>
    <t xml:space="preserve">Warehouse </t>
  </si>
  <si>
    <t xml:space="preserve">Address </t>
  </si>
  <si>
    <t xml:space="preserve">City </t>
  </si>
  <si>
    <t xml:space="preserve">State </t>
  </si>
  <si>
    <t>Zip Code</t>
  </si>
  <si>
    <t>Corporate Office</t>
  </si>
  <si>
    <t>7102 Commerce Drive</t>
  </si>
  <si>
    <t>Schofield</t>
  </si>
  <si>
    <t>Schofield Warehouse &amp; Production</t>
  </si>
  <si>
    <t>Eau Claire Warehouse</t>
  </si>
  <si>
    <t>4414 White Avenue</t>
  </si>
  <si>
    <t>Eau Claire</t>
  </si>
  <si>
    <t>Lakeville Warehouse</t>
  </si>
  <si>
    <t>21700 Highview Avenue</t>
  </si>
  <si>
    <t>Detroit Lakes Warehouse</t>
  </si>
  <si>
    <t>811 15th Avenue</t>
  </si>
  <si>
    <t>Rochelle Warehouse</t>
  </si>
  <si>
    <t>747 Wiscold Drive</t>
  </si>
  <si>
    <t>Rochelle</t>
  </si>
  <si>
    <t>West Branch IA Warehouse</t>
  </si>
  <si>
    <t>115 Fawcett Drive</t>
  </si>
  <si>
    <t>West Branch</t>
  </si>
  <si>
    <t>Stuart Warehouse &amp; Production</t>
  </si>
  <si>
    <t>803 SW 8th Street</t>
  </si>
  <si>
    <t>Stuart</t>
  </si>
  <si>
    <t>Jacksonville Warehouse</t>
  </si>
  <si>
    <t>1395 Woods Lane</t>
  </si>
  <si>
    <t>Jacksonville</t>
  </si>
  <si>
    <t>Brandon Warehouse</t>
  </si>
  <si>
    <t>1401 Railroad Avenue</t>
  </si>
  <si>
    <t>Brandon</t>
  </si>
  <si>
    <t>Gardner Warehouse</t>
  </si>
  <si>
    <t>16900 Conestoga</t>
  </si>
  <si>
    <t>New Century</t>
  </si>
  <si>
    <t>Rapid City Warehouse</t>
  </si>
  <si>
    <t>3356 Dyess Ave</t>
  </si>
  <si>
    <t>West Branch MI Warehouse</t>
  </si>
  <si>
    <t>631 North First St</t>
  </si>
  <si>
    <t>Great Falls - Warehouse</t>
  </si>
  <si>
    <t>1300 River Drive North</t>
  </si>
  <si>
    <t>Billings -  Warehouse</t>
  </si>
  <si>
    <t>1324 Lockwood Road</t>
  </si>
  <si>
    <t>Spokane - Warehouse</t>
  </si>
  <si>
    <t>17524 East Euclid Avenue</t>
  </si>
  <si>
    <t>Limon - Warehouse</t>
  </si>
  <si>
    <t>2490 Market Place</t>
  </si>
  <si>
    <t xml:space="preserve">Limon </t>
  </si>
  <si>
    <t>Butte Warehouse</t>
  </si>
  <si>
    <t>Murfreesboro Warehouse</t>
  </si>
  <si>
    <t>1209 Park Ave, Ste D</t>
  </si>
  <si>
    <t>Hamburg Warehouse</t>
  </si>
  <si>
    <t>70 Industrial Drive</t>
  </si>
  <si>
    <t>Hamburg</t>
  </si>
  <si>
    <t>Brigham City Warehouse</t>
  </si>
  <si>
    <t>1388 W 250 N</t>
  </si>
  <si>
    <t>Brigham City</t>
  </si>
  <si>
    <t>Sidney Warehouse</t>
  </si>
  <si>
    <t>280 Stolle Ave</t>
  </si>
  <si>
    <t>Sidney</t>
  </si>
  <si>
    <t>Schofield Production</t>
  </si>
  <si>
    <t>8011 Technology Drive</t>
  </si>
  <si>
    <t>Taylor Production</t>
  </si>
  <si>
    <t>Sales Organization Chart</t>
  </si>
  <si>
    <t>CEO - Jody Maier</t>
  </si>
  <si>
    <t>VP Taylor/Waudena - Dusty Dvorak</t>
  </si>
  <si>
    <t>VP/General Manager Emerging Markets - Mike Seebruck</t>
  </si>
  <si>
    <t>VP Sales &amp; Marketing - Craig Oertel</t>
  </si>
  <si>
    <t>Operations Taylor Joe Izworkski</t>
  </si>
  <si>
    <t>Technical Taylor Kevin Buhlow</t>
  </si>
  <si>
    <t>National Sales Manager Taylor Artie Buckner</t>
  </si>
  <si>
    <t>Purchasing Manager Taylor Lori Halm</t>
  </si>
  <si>
    <t>Product Devlopment Manager Waudena Chris Berger</t>
  </si>
  <si>
    <t>Business Analyst Joan Leggett</t>
  </si>
  <si>
    <t>Customer Service Manager Waudena Mitch Lamberg</t>
  </si>
  <si>
    <t>Business Development Manager Waudena Ryan Schroeder</t>
  </si>
  <si>
    <t>Regional Manager Chad Lemburg</t>
  </si>
  <si>
    <t>Regional Manager Keith Scott</t>
  </si>
  <si>
    <t>Regional Manager Open Michigan</t>
  </si>
  <si>
    <t>District Operations Manager Pete Tompers</t>
  </si>
  <si>
    <t>Operations Manager Rich Montegue</t>
  </si>
  <si>
    <t>Director Sales East Dan Buttner</t>
  </si>
  <si>
    <t>Director Sales West Mike Kunard</t>
  </si>
  <si>
    <t>Director of Sales Operations (Open)</t>
  </si>
  <si>
    <t>Director of Customer Service Ron Kunkel</t>
  </si>
  <si>
    <t>Market Development Manager      Neil Czarnecki</t>
  </si>
  <si>
    <t>National Accounts Manager       Jamie Schoenemann</t>
  </si>
  <si>
    <t>Luke Mcleod</t>
  </si>
  <si>
    <t>Regional Manager Adam Hueckstaedt</t>
  </si>
  <si>
    <t>Regional Manager Allison Siler</t>
  </si>
  <si>
    <t>Regional Manager Justin Haenel</t>
  </si>
  <si>
    <t>Regional Manager Roger Thompson</t>
  </si>
  <si>
    <t>Regional Manager Mike Hutchinson</t>
  </si>
  <si>
    <t>Regional Manager Jim Gibbs</t>
  </si>
  <si>
    <t>Marketing Manager Jessica Salber</t>
  </si>
  <si>
    <t>Dennis Johnson</t>
  </si>
  <si>
    <t>Taylor Whitsett</t>
  </si>
  <si>
    <t>Jeff Odden</t>
  </si>
  <si>
    <t>Dustin Smith</t>
  </si>
  <si>
    <t>Ann Lake</t>
  </si>
  <si>
    <t>Stacy Cunningham</t>
  </si>
  <si>
    <t>Sean Moynihan</t>
  </si>
  <si>
    <t>Joe Rea</t>
  </si>
  <si>
    <t>Product Development Manager Andy Strey</t>
  </si>
  <si>
    <t>Thomas Weida</t>
  </si>
  <si>
    <t>Joren Thompson</t>
  </si>
  <si>
    <t>Open Lansing</t>
  </si>
  <si>
    <t>Alan Dougherty</t>
  </si>
  <si>
    <t>Gary Zimdars</t>
  </si>
  <si>
    <t>Ross Larson</t>
  </si>
  <si>
    <t>Tamara Dubbels</t>
  </si>
  <si>
    <t>Roger Wasson</t>
  </si>
  <si>
    <t>Marketing Operations Manager Dave Southworth</t>
  </si>
  <si>
    <t>CDS Open Billings</t>
  </si>
  <si>
    <t>Ron Gardner</t>
  </si>
  <si>
    <t>CDS Open Lansing</t>
  </si>
  <si>
    <t>Joe Woolery</t>
  </si>
  <si>
    <t>Terry Sibernagel</t>
  </si>
  <si>
    <t>Chris Angell</t>
  </si>
  <si>
    <t>Kent Card</t>
  </si>
  <si>
    <t>Corporate Sales Trainer (Open)</t>
  </si>
  <si>
    <t>Chris Tidmore</t>
  </si>
  <si>
    <t>Chuck Davis</t>
  </si>
  <si>
    <t>Jeramie Kerl</t>
  </si>
  <si>
    <t>Patrick Meade</t>
  </si>
  <si>
    <t>Larry Czachor</t>
  </si>
  <si>
    <t>Randy Fenske</t>
  </si>
  <si>
    <t>Jamie Bossmann</t>
  </si>
  <si>
    <t>Mark Kosse</t>
  </si>
  <si>
    <t>David Lewey</t>
  </si>
  <si>
    <t>Brandon Hoffstetter</t>
  </si>
  <si>
    <t>CDS Open Kansas City</t>
  </si>
  <si>
    <t>Mark Brothen</t>
  </si>
  <si>
    <t>Tina Johnson</t>
  </si>
  <si>
    <t>CDS Open Des Moines</t>
  </si>
  <si>
    <t>Jim Powers</t>
  </si>
  <si>
    <t>Matt Dorholt</t>
  </si>
  <si>
    <t>Rex Urban</t>
  </si>
  <si>
    <t>Todd Seguin</t>
  </si>
  <si>
    <t>Sales Rep Code</t>
  </si>
  <si>
    <t>NOTES</t>
  </si>
  <si>
    <t>3-Sided TableTop
with 2 each DK Boards &amp; 2 each WM Boards</t>
  </si>
  <si>
    <t>Waudena Table Cloth</t>
  </si>
  <si>
    <t>Diamond Kote Table Cloth</t>
  </si>
  <si>
    <t>Wausau Supply Table Cloth</t>
  </si>
  <si>
    <t>Sales Cases (List Type)</t>
  </si>
  <si>
    <t>Other</t>
  </si>
  <si>
    <t>Jody Maier</t>
  </si>
  <si>
    <t>0010</t>
  </si>
  <si>
    <t>Craig Oertel</t>
  </si>
  <si>
    <t>2280 Winterhaven Place</t>
  </si>
  <si>
    <t>715.218.4442</t>
  </si>
  <si>
    <t>craig.oertel@wausausupply.com</t>
  </si>
  <si>
    <t>4XLT</t>
  </si>
  <si>
    <t>Market Development Manager</t>
  </si>
  <si>
    <t>0031</t>
  </si>
  <si>
    <t>Neil Czarnecki</t>
  </si>
  <si>
    <t>N889 Resewood Avenue</t>
  </si>
  <si>
    <t>Neilsville</t>
  </si>
  <si>
    <t>715.577.3684</t>
  </si>
  <si>
    <t>neil.czarnecki@wausausupply.com</t>
  </si>
  <si>
    <t>Brand Development Manager</t>
  </si>
  <si>
    <t>0002</t>
  </si>
  <si>
    <t>Andy Strey</t>
  </si>
  <si>
    <t>558 S. State Street</t>
  </si>
  <si>
    <t>715.577.1361</t>
  </si>
  <si>
    <t>andy.strey@wausausupply.com</t>
  </si>
  <si>
    <t>VP Strategic Sales</t>
  </si>
  <si>
    <t>0089</t>
  </si>
  <si>
    <t>Mike Seebruck</t>
  </si>
  <si>
    <t>30081 State Hwy 27</t>
  </si>
  <si>
    <t>Holcombe</t>
  </si>
  <si>
    <t>715.577.0295</t>
  </si>
  <si>
    <t>mike.seebruck@wausausupply.com</t>
  </si>
  <si>
    <t>0027</t>
  </si>
  <si>
    <t>10841 Glen Lake Road</t>
  </si>
  <si>
    <t>Orland Park</t>
  </si>
  <si>
    <t>708.606.3985</t>
  </si>
  <si>
    <t>larry.czachor@wasausupply.com</t>
  </si>
  <si>
    <t>EWP Manager</t>
  </si>
  <si>
    <t>Spokane, WA</t>
  </si>
  <si>
    <t xml:space="preserve">1801 Aquamarine Way </t>
  </si>
  <si>
    <t>Castle Rock</t>
  </si>
  <si>
    <t>ron.gardner@wausausupply.com</t>
  </si>
  <si>
    <t>VP - Taylor Entrance Systems</t>
  </si>
  <si>
    <t>0014</t>
  </si>
  <si>
    <t>Dusty Dvorak</t>
  </si>
  <si>
    <t>7106 Forest Street</t>
  </si>
  <si>
    <t>715.218.8487</t>
  </si>
  <si>
    <t>dusty.dvorak@taylordoor.com</t>
  </si>
  <si>
    <t>Waudena / Taylor - National Sales Manager</t>
  </si>
  <si>
    <t>0205</t>
  </si>
  <si>
    <t>Jim Seeger</t>
  </si>
  <si>
    <t>4759 S. Oakwood Hills Parkway</t>
  </si>
  <si>
    <t>715.651.9644</t>
  </si>
  <si>
    <t>jim.seeger@taylordoor.com</t>
  </si>
  <si>
    <t>2XLT</t>
  </si>
  <si>
    <t>Key Account Manager</t>
  </si>
  <si>
    <t>0114</t>
  </si>
  <si>
    <t>XLT</t>
  </si>
  <si>
    <t>Waudena Millwork Specialist</t>
  </si>
  <si>
    <t>0038</t>
  </si>
  <si>
    <t>Ron Tjaden</t>
  </si>
  <si>
    <t>8 Briarstone Court</t>
  </si>
  <si>
    <t>Mason City</t>
  </si>
  <si>
    <t>715.577.8529</t>
  </si>
  <si>
    <t>ron.tjaden@wausausupply.com</t>
  </si>
  <si>
    <t>0030</t>
  </si>
  <si>
    <t>Mike Wiggins</t>
  </si>
  <si>
    <t>2131 23rd Avenue</t>
  </si>
  <si>
    <t>Rock Island</t>
  </si>
  <si>
    <t xml:space="preserve">IL  </t>
  </si>
  <si>
    <t>715.577.1212</t>
  </si>
  <si>
    <t>mike.wiggins@wausausupply.com</t>
  </si>
  <si>
    <t>Director of Regional Sales</t>
  </si>
  <si>
    <t>0012</t>
  </si>
  <si>
    <t>Dan Buttner</t>
  </si>
  <si>
    <t>9745 Sandhill Drive</t>
  </si>
  <si>
    <t>Weston</t>
  </si>
  <si>
    <t>715.577.1534</t>
  </si>
  <si>
    <t>dan.buttner@wausausupply.com</t>
  </si>
  <si>
    <t>0017</t>
  </si>
  <si>
    <t>Jamie Schoenemann</t>
  </si>
  <si>
    <t>806 Sunset Dr</t>
  </si>
  <si>
    <t>Lodi</t>
  </si>
  <si>
    <t>715.218.1530</t>
  </si>
  <si>
    <t>jamie.schoenemann@wausausupply.com</t>
  </si>
  <si>
    <t>Region B</t>
  </si>
  <si>
    <t>0261</t>
  </si>
  <si>
    <t>Justin Haenel</t>
  </si>
  <si>
    <t>1828 Kaphaem Road</t>
  </si>
  <si>
    <t>715.401.1963</t>
  </si>
  <si>
    <t>justin.haenel@wausausupply.com</t>
  </si>
  <si>
    <t>Central Wisconsin</t>
  </si>
  <si>
    <t>0048</t>
  </si>
  <si>
    <t>2104 Meadow Drive</t>
  </si>
  <si>
    <t>Kronenwetter</t>
  </si>
  <si>
    <t>715.551.6895</t>
  </si>
  <si>
    <t>ann.lake@wausausupply.com</t>
  </si>
  <si>
    <t>Medium</t>
  </si>
  <si>
    <t>0015</t>
  </si>
  <si>
    <t>465 County Road 510</t>
  </si>
  <si>
    <t>0059</t>
  </si>
  <si>
    <t>1311 Cedar Street</t>
  </si>
  <si>
    <t>715.383.5022</t>
  </si>
  <si>
    <t>gary.zimdars@wausausupply.com</t>
  </si>
  <si>
    <t xml:space="preserve">4XL </t>
  </si>
  <si>
    <t>Southern Lower Michigan</t>
  </si>
  <si>
    <t>0218</t>
  </si>
  <si>
    <t>Jeffery Odden</t>
  </si>
  <si>
    <t>2878 Ben Drive</t>
  </si>
  <si>
    <t>248.309.1915</t>
  </si>
  <si>
    <t>jeff.odden@wausausupply.com</t>
  </si>
  <si>
    <t>Northern Lower Michigan</t>
  </si>
  <si>
    <t>0219</t>
  </si>
  <si>
    <t>9397 Battalion Blvd.</t>
  </si>
  <si>
    <t>Grayling</t>
  </si>
  <si>
    <t>tim.weismiller@wausausupply.com</t>
  </si>
  <si>
    <t>Region C</t>
  </si>
  <si>
    <t>0143</t>
  </si>
  <si>
    <t>Jim Gibbs</t>
  </si>
  <si>
    <t>465 8th Ave</t>
  </si>
  <si>
    <t>Dyersville</t>
  </si>
  <si>
    <t>920.517.4243</t>
  </si>
  <si>
    <t>jim.gibbs@wausausupply.com</t>
  </si>
  <si>
    <t>Northeast Nebraska / Southwest Minnesota</t>
  </si>
  <si>
    <t>0037</t>
  </si>
  <si>
    <t>48449 296th Street</t>
  </si>
  <si>
    <t>605.212.8389</t>
  </si>
  <si>
    <t>roger.wasson@wausausupply.com</t>
  </si>
  <si>
    <t>Southeast Iowa</t>
  </si>
  <si>
    <t>0269</t>
  </si>
  <si>
    <t>19910 333rd Avenue</t>
  </si>
  <si>
    <t>715.660.8493</t>
  </si>
  <si>
    <t>patrick.meade@wausausupply.com</t>
  </si>
  <si>
    <t>Southeast Wisconsin</t>
  </si>
  <si>
    <t>0291</t>
  </si>
  <si>
    <t>S85W23225 Woodbury Lane</t>
  </si>
  <si>
    <t>Big Bend</t>
  </si>
  <si>
    <t>414.639.7962</t>
  </si>
  <si>
    <t>mark.brothen@wausausupply.com</t>
  </si>
  <si>
    <t>Southcentral Wisconsin</t>
  </si>
  <si>
    <t>0236</t>
  </si>
  <si>
    <t xml:space="preserve">1467 Marquette St </t>
  </si>
  <si>
    <t>Janesville</t>
  </si>
  <si>
    <t>682.309.0233</t>
  </si>
  <si>
    <t>Jeramie.Kerl@wausausupply.com</t>
  </si>
  <si>
    <t>CHANGING ON JUNE 18, 2018</t>
  </si>
  <si>
    <t>new</t>
  </si>
  <si>
    <t>0025</t>
  </si>
  <si>
    <t>2921 Windsor Drive</t>
  </si>
  <si>
    <t>Norwalk</t>
  </si>
  <si>
    <t>715.577.7687</t>
  </si>
  <si>
    <t>kent.card@wausausupply.com</t>
  </si>
  <si>
    <t>0044</t>
  </si>
  <si>
    <t>807 Sunflower Circle</t>
  </si>
  <si>
    <t>Black River Falls</t>
  </si>
  <si>
    <t>715.577.8520</t>
  </si>
  <si>
    <t>todd.seguin@wausausupply.com</t>
  </si>
  <si>
    <t>Northeast Iowa</t>
  </si>
  <si>
    <t>0013</t>
  </si>
  <si>
    <t>Dave Lewey</t>
  </si>
  <si>
    <t>7840 Commerce CT. unit 18</t>
  </si>
  <si>
    <t>Dubuque</t>
  </si>
  <si>
    <t>715.590.4197</t>
  </si>
  <si>
    <t>david.lewey@wausausupply.com</t>
  </si>
  <si>
    <t>Region F</t>
  </si>
  <si>
    <t>0004</t>
  </si>
  <si>
    <t>0098</t>
  </si>
  <si>
    <t>0095</t>
  </si>
  <si>
    <t>1204 Cork Drive</t>
  </si>
  <si>
    <t>Papillion</t>
  </si>
  <si>
    <t>402.604.0187</t>
  </si>
  <si>
    <t>joe.rea@wausausupply.com</t>
  </si>
  <si>
    <t>Eastern Kansas / Western Missouri</t>
  </si>
  <si>
    <t>0144</t>
  </si>
  <si>
    <t>800 SW 36th Terrace</t>
  </si>
  <si>
    <t>Blue Springs</t>
  </si>
  <si>
    <t>715.577.0905</t>
  </si>
  <si>
    <t>alan.dougherty@wausausupply.com</t>
  </si>
  <si>
    <t>Territory Manager - Springfield, MO</t>
  </si>
  <si>
    <t>0200</t>
  </si>
  <si>
    <t>195 Fox Ridge Road</t>
  </si>
  <si>
    <t>Branson</t>
  </si>
  <si>
    <t>Territory Manager - Tulsa, OK</t>
  </si>
  <si>
    <t>0194</t>
  </si>
  <si>
    <t>1802 Ridgeway</t>
  </si>
  <si>
    <t>Sapulpa</t>
  </si>
  <si>
    <t>OK</t>
  </si>
  <si>
    <t>715-383-9859</t>
  </si>
  <si>
    <t>joe.woolery@wausausupply.com</t>
  </si>
  <si>
    <t>Territory Manager - Kansas</t>
  </si>
  <si>
    <t>Kansas City Region</t>
  </si>
  <si>
    <t>0273</t>
  </si>
  <si>
    <t>7835 W 139th Terrace</t>
  </si>
  <si>
    <t>Overland Park</t>
  </si>
  <si>
    <t>715.348.5866</t>
  </si>
  <si>
    <t>chuck.davis@wausausupply.com</t>
  </si>
  <si>
    <t>Channel Development Specialist - Springfield, MO</t>
  </si>
  <si>
    <t>0198</t>
  </si>
  <si>
    <t>Brandon Hofstetter</t>
  </si>
  <si>
    <t>900 Frisco Drive</t>
  </si>
  <si>
    <t>Catawissa</t>
  </si>
  <si>
    <t>715.496.1156</t>
  </si>
  <si>
    <t>brandon.hofstetter@wausausupply.com</t>
  </si>
  <si>
    <t>Region H</t>
  </si>
  <si>
    <t>0001</t>
  </si>
  <si>
    <t>Adam Hueckstaedt</t>
  </si>
  <si>
    <t>212 Gloucester Ct.</t>
  </si>
  <si>
    <t>Chatham</t>
  </si>
  <si>
    <t>Chicagoland</t>
  </si>
  <si>
    <t>0278</t>
  </si>
  <si>
    <t>4917 N Rutherford Ave</t>
  </si>
  <si>
    <t>Chicago</t>
  </si>
  <si>
    <t>312.515.7022</t>
  </si>
  <si>
    <t>dustin.smith@wausausupply.com</t>
  </si>
  <si>
    <t>0136</t>
  </si>
  <si>
    <t xml:space="preserve">53 Schooner Lake </t>
  </si>
  <si>
    <t xml:space="preserve">Saint Louis </t>
  </si>
  <si>
    <t>715.218.8156</t>
  </si>
  <si>
    <t>Central Illinois</t>
  </si>
  <si>
    <t>0237</t>
  </si>
  <si>
    <t>46 Shiloh Street</t>
  </si>
  <si>
    <t>Morton</t>
  </si>
  <si>
    <t>309.202.6205</t>
  </si>
  <si>
    <t>Rex.Urban@wausausupply.com</t>
  </si>
  <si>
    <t>Southern Illinois</t>
  </si>
  <si>
    <t>0242</t>
  </si>
  <si>
    <t>7605 Triwoods condo C</t>
  </si>
  <si>
    <t>Shrewsbury</t>
  </si>
  <si>
    <t>Central / Southern Indiana</t>
  </si>
  <si>
    <t>0251</t>
  </si>
  <si>
    <t>1502 S. 900 E</t>
  </si>
  <si>
    <t>Zionsville</t>
  </si>
  <si>
    <t>317.419.7724</t>
  </si>
  <si>
    <t>chris.tidmore@wausausupply.com</t>
  </si>
  <si>
    <t>New - January 2018</t>
  </si>
  <si>
    <t>Big Box Specialist</t>
  </si>
  <si>
    <t>Milwaukee / Chicago Region</t>
  </si>
  <si>
    <t>0173</t>
  </si>
  <si>
    <t>3512 Madison</t>
  </si>
  <si>
    <t>715.527.0388</t>
  </si>
  <si>
    <t>jim.powers@wausausupply.com</t>
  </si>
  <si>
    <t>Diamond Kote Specialist</t>
  </si>
  <si>
    <t>0119</t>
  </si>
  <si>
    <t>Jamie Bossman</t>
  </si>
  <si>
    <t>9625 Tip Top Rd.</t>
  </si>
  <si>
    <t>715.218.8159</t>
  </si>
  <si>
    <t>jamie.bossman@wausausupply.com</t>
  </si>
  <si>
    <t>Region I</t>
  </si>
  <si>
    <t>0169</t>
  </si>
  <si>
    <t>Mike Kunard</t>
  </si>
  <si>
    <t>1558 Sandbar Circle</t>
  </si>
  <si>
    <t xml:space="preserve">Waconia </t>
  </si>
  <si>
    <t>715.218.8180</t>
  </si>
  <si>
    <t>mike.kunard@wausausupply.com</t>
  </si>
  <si>
    <t>0006</t>
  </si>
  <si>
    <t>1308 Pondview Court</t>
  </si>
  <si>
    <t>Shakopee</t>
  </si>
  <si>
    <t>715.577.0009</t>
  </si>
  <si>
    <t>chris.angell@wausausupply.com</t>
  </si>
  <si>
    <t>0007</t>
  </si>
  <si>
    <t>0018</t>
  </si>
  <si>
    <t>Twin Cities / Southeastern Minnesota</t>
  </si>
  <si>
    <t>0041</t>
  </si>
  <si>
    <t>15618 Eagle Bay Drive</t>
  </si>
  <si>
    <t>Apple Valley</t>
  </si>
  <si>
    <t>tamara.dubbels@wausausupply.com</t>
  </si>
  <si>
    <t>Eastern North Dakota / Western Minnesota</t>
  </si>
  <si>
    <t>0043</t>
  </si>
  <si>
    <t>1270 Bayridge Drive</t>
  </si>
  <si>
    <t>715.218.8142</t>
  </si>
  <si>
    <t>tina.johnson@wausausupply.com</t>
  </si>
  <si>
    <t>Northwestern Wisconsin / Northeast Minnesota</t>
  </si>
  <si>
    <t>0245</t>
  </si>
  <si>
    <t>2815 Jefferson Street</t>
  </si>
  <si>
    <t>Duluth</t>
  </si>
  <si>
    <t>218.244.0377</t>
  </si>
  <si>
    <t>matt.dorholt@wausausupply.com</t>
  </si>
  <si>
    <t>Twin Cities / Central Minnesota</t>
  </si>
  <si>
    <t>0213</t>
  </si>
  <si>
    <t>13704 Alabama Ave South</t>
  </si>
  <si>
    <t>612.214.9482</t>
  </si>
  <si>
    <t>sean.moynihan@wausausupply.com</t>
  </si>
  <si>
    <t>Channel Development Specialist</t>
  </si>
  <si>
    <t>0178</t>
  </si>
  <si>
    <t>Region J</t>
  </si>
  <si>
    <t>0107</t>
  </si>
  <si>
    <t>Roger Thompson</t>
  </si>
  <si>
    <t>1540 Bristol Court</t>
  </si>
  <si>
    <t>715.409.9713</t>
  </si>
  <si>
    <t>Roger.Thompson@wausausupply.com</t>
  </si>
  <si>
    <t>Send all Marketing Materials to the Rapid City Warehouse at 3356 Dyess</t>
  </si>
  <si>
    <t>(Ship packages to the warehouse)</t>
  </si>
  <si>
    <t>Southern Wyoming / Western Nebraska</t>
  </si>
  <si>
    <t>J</t>
  </si>
  <si>
    <t>0097</t>
  </si>
  <si>
    <t>1321 Idlewylde Drive</t>
  </si>
  <si>
    <t>0177</t>
  </si>
  <si>
    <t>5210 Meteor Drive</t>
  </si>
  <si>
    <t>Colorado Springs</t>
  </si>
  <si>
    <t>719.313.2082</t>
  </si>
  <si>
    <t>ross.larson@wausausupply.com</t>
  </si>
  <si>
    <t>Eastern Wyoming / Western South Dakota</t>
  </si>
  <si>
    <t>0215</t>
  </si>
  <si>
    <t>Terry Silbernagel</t>
  </si>
  <si>
    <t>4426 Duckhorn Street</t>
  </si>
  <si>
    <t>605.415.0332</t>
  </si>
  <si>
    <t>terry.silbernagel@wausausupply.com</t>
  </si>
  <si>
    <t>0028</t>
  </si>
  <si>
    <t>1853 N. 23rd Street</t>
  </si>
  <si>
    <t>Bismarck</t>
  </si>
  <si>
    <t>701.220.5006</t>
  </si>
  <si>
    <t>mark.kosse@wausausupply.com</t>
  </si>
  <si>
    <t>0255</t>
  </si>
  <si>
    <t>Stacey Cunningham</t>
  </si>
  <si>
    <t>1582 Hickory Drive</t>
  </si>
  <si>
    <t>Erie</t>
  </si>
  <si>
    <t>720.818.1274</t>
  </si>
  <si>
    <t>stacey.cunningham@wausausupply.com</t>
  </si>
  <si>
    <t>ordered March 2018</t>
  </si>
  <si>
    <t>Region M</t>
  </si>
  <si>
    <t>0212</t>
  </si>
  <si>
    <t>5230 Equestrian Road</t>
  </si>
  <si>
    <t>Northern Montana</t>
  </si>
  <si>
    <t>Open Position</t>
  </si>
  <si>
    <t>Territory Manager - Billings MT</t>
  </si>
  <si>
    <t>Eastern Montana / Northern Wyoming</t>
  </si>
  <si>
    <t>0238</t>
  </si>
  <si>
    <t>0233</t>
  </si>
  <si>
    <t>1024 N Davis Street</t>
  </si>
  <si>
    <t>Helena</t>
  </si>
  <si>
    <t>406.475.1086</t>
  </si>
  <si>
    <t>thomas.weida@wausausupply.com</t>
  </si>
  <si>
    <t>South / Central Montana</t>
  </si>
  <si>
    <t>0240</t>
  </si>
  <si>
    <t>500 Mineral Avenue</t>
  </si>
  <si>
    <t>Bozeman</t>
  </si>
  <si>
    <t>406.217.7673</t>
  </si>
  <si>
    <t>dennis.johnson@wausausupply.com</t>
  </si>
  <si>
    <t>Montana</t>
  </si>
  <si>
    <t>0282</t>
  </si>
  <si>
    <t>Region K</t>
  </si>
  <si>
    <t>0231</t>
  </si>
  <si>
    <t>435 N Almondwood Drive</t>
  </si>
  <si>
    <t>Eastern Washington / Northern Idaho</t>
  </si>
  <si>
    <t>0166</t>
  </si>
  <si>
    <t>1680 Bohanan Rd.</t>
  </si>
  <si>
    <t>Colville</t>
  </si>
  <si>
    <t>509.638.4366</t>
  </si>
  <si>
    <t>luke.mcleod@wausausupply.com</t>
  </si>
  <si>
    <t>Central Washington State</t>
  </si>
  <si>
    <t>0244</t>
  </si>
  <si>
    <t>6910 Sully Lane</t>
  </si>
  <si>
    <t>West Richland</t>
  </si>
  <si>
    <t>509.723.6007</t>
  </si>
  <si>
    <t>taylor.whitsett@wausausupply.com</t>
  </si>
  <si>
    <t>Western Washington State</t>
  </si>
  <si>
    <t>0263</t>
  </si>
  <si>
    <t>300 E13 th Street #409</t>
  </si>
  <si>
    <t>Vancover</t>
  </si>
  <si>
    <t>715.660.8141</t>
  </si>
  <si>
    <t>joren.thompson@wausausupply.com</t>
  </si>
  <si>
    <t>Washington State</t>
  </si>
  <si>
    <t>0170</t>
  </si>
  <si>
    <t>27027 N. Ptarmigan Road</t>
  </si>
  <si>
    <t>Chattaroy</t>
  </si>
  <si>
    <t>Internal Acct. #</t>
  </si>
  <si>
    <t>Ship To #</t>
  </si>
  <si>
    <t>Mobile  Phone</t>
  </si>
  <si>
    <t>90craig@wausausupply.com</t>
  </si>
  <si>
    <t>5neil@wausausupply.com</t>
  </si>
  <si>
    <t>5andy@wausausupply.com</t>
  </si>
  <si>
    <t>5mikes@wausausupply.com</t>
  </si>
  <si>
    <t>Tyvek Specialist</t>
  </si>
  <si>
    <t>0034</t>
  </si>
  <si>
    <t>4229 Kucera Drive</t>
  </si>
  <si>
    <t>715.577.1580</t>
  </si>
  <si>
    <t>5randy@wausausupply.com</t>
  </si>
  <si>
    <t>Commodity Manager</t>
  </si>
  <si>
    <t>0035</t>
  </si>
  <si>
    <t>Randy Swanson</t>
  </si>
  <si>
    <t>5800 325th Street</t>
  </si>
  <si>
    <t>Cannon Falls</t>
  </si>
  <si>
    <t>715.218.8167</t>
  </si>
  <si>
    <t>randy.swanson@wausausupply.com</t>
  </si>
  <si>
    <t>National Sales Manager - Taylor Entrance Systems</t>
  </si>
  <si>
    <t>90mikewi@wausausupply.com</t>
  </si>
  <si>
    <t>Director of Waudena Millwork</t>
  </si>
  <si>
    <t>1105 Starlite Drive</t>
  </si>
  <si>
    <t>715.218.6614</t>
  </si>
  <si>
    <t>50jamie@wausausupply.com</t>
  </si>
  <si>
    <t>0091</t>
  </si>
  <si>
    <t>Kurt Cheyka</t>
  </si>
  <si>
    <t>2802 Lynx Road</t>
  </si>
  <si>
    <t>715.218.4452</t>
  </si>
  <si>
    <t>3kurt@wausausupply.com</t>
  </si>
  <si>
    <t>0176</t>
  </si>
  <si>
    <t>Elizabeth Ascione</t>
  </si>
  <si>
    <t>4467 S. Rainbow Court</t>
  </si>
  <si>
    <t>Williamsburg</t>
  </si>
  <si>
    <t>Elizabeth.Ascione@wausausupply.com</t>
  </si>
  <si>
    <t>1806 Timber Lane</t>
  </si>
  <si>
    <t>0116</t>
  </si>
  <si>
    <t>1700002</t>
  </si>
  <si>
    <t>Jim Haggerty</t>
  </si>
  <si>
    <t>P.O. Box 342</t>
  </si>
  <si>
    <t>Stockbridge</t>
  </si>
  <si>
    <t>jim.haggerty@wausausupply.com</t>
  </si>
  <si>
    <t>0175</t>
  </si>
  <si>
    <t>Jerimy Neu</t>
  </si>
  <si>
    <t>N6266 HWY 67</t>
  </si>
  <si>
    <t>Iron Ridge</t>
  </si>
  <si>
    <t>Jerimy.Neu@wausausupply.com</t>
  </si>
  <si>
    <t>0102</t>
  </si>
  <si>
    <t>Steve Johnson</t>
  </si>
  <si>
    <t>11919 Verona Court</t>
  </si>
  <si>
    <t>West Allis</t>
  </si>
  <si>
    <t>715.218.1702</t>
  </si>
  <si>
    <t>steve.johnson@wausausupply.com</t>
  </si>
  <si>
    <t>3garyp@wausausupply.com</t>
  </si>
  <si>
    <t>0045</t>
  </si>
  <si>
    <t>Tony Olson</t>
  </si>
  <si>
    <t>8735 Newton Lake Road
PO Box 486</t>
  </si>
  <si>
    <t>Crivitz</t>
  </si>
  <si>
    <t>920.851.3661</t>
  </si>
  <si>
    <t>tony.olson@wausausupply.com</t>
  </si>
  <si>
    <t>17559 Fieldfare Way</t>
  </si>
  <si>
    <t>Farmington</t>
  </si>
  <si>
    <t>0036</t>
  </si>
  <si>
    <t>Rob Ray</t>
  </si>
  <si>
    <t>3212 S 25th Ave</t>
  </si>
  <si>
    <t>Eldridge</t>
  </si>
  <si>
    <t>715.577.0395</t>
  </si>
  <si>
    <t>rob.ray@wausausupply.com</t>
  </si>
  <si>
    <t>5030 Saratoga Road</t>
  </si>
  <si>
    <t>90ront@wausausupply.com</t>
  </si>
  <si>
    <t>50allison@wausausupply.com</t>
  </si>
  <si>
    <t>50adam@wausausupply.com</t>
  </si>
  <si>
    <t>002</t>
  </si>
  <si>
    <t>0021</t>
  </si>
  <si>
    <t>John Abell</t>
  </si>
  <si>
    <t>19638 Buckingham Drive</t>
  </si>
  <si>
    <t>Mokena</t>
  </si>
  <si>
    <t>715.218.8176</t>
  </si>
  <si>
    <t>john.abell@wausausupply.com</t>
  </si>
  <si>
    <t>003</t>
  </si>
  <si>
    <t>1207 Woodgrove Park Drive</t>
  </si>
  <si>
    <t>O'Fallon</t>
  </si>
  <si>
    <t>0179</t>
  </si>
  <si>
    <t>005</t>
  </si>
  <si>
    <t>Jenny Wasson</t>
  </si>
  <si>
    <t>419 Micahs Way</t>
  </si>
  <si>
    <t>Columbia</t>
  </si>
  <si>
    <t>217.720.0197</t>
  </si>
  <si>
    <t>jenny.wasson@wausausupply.com</t>
  </si>
  <si>
    <t>05</t>
  </si>
  <si>
    <t>03</t>
  </si>
  <si>
    <t>0020</t>
  </si>
  <si>
    <t>Jim Schroyer</t>
  </si>
  <si>
    <t>2828 Longwing Court</t>
  </si>
  <si>
    <t>Altoona</t>
  </si>
  <si>
    <t>715.579.8439</t>
  </si>
  <si>
    <t>jim.schroyer@wausausupply.com</t>
  </si>
  <si>
    <t xml:space="preserve">Channel Development </t>
  </si>
  <si>
    <t>4514 Duckhorn Street</t>
  </si>
  <si>
    <t>0129</t>
  </si>
  <si>
    <t>009</t>
  </si>
  <si>
    <t>Mark Hoffman</t>
  </si>
  <si>
    <t>14000 52nd Street NE</t>
  </si>
  <si>
    <t>Baldwin</t>
  </si>
  <si>
    <t>715-218-6466</t>
  </si>
  <si>
    <t>mark.hoffman@wausausupply.com</t>
  </si>
  <si>
    <t>11622 N. Fairwood Drive</t>
  </si>
  <si>
    <t>0156</t>
  </si>
  <si>
    <t>Bryce Benton</t>
  </si>
  <si>
    <t>2102 Broadway</t>
  </si>
  <si>
    <t>406.868.6902</t>
  </si>
  <si>
    <t>bryce@lumberyardsupply.com</t>
  </si>
  <si>
    <t>0155</t>
  </si>
  <si>
    <t>Dave Storfa</t>
  </si>
  <si>
    <t>628 35th Ave NE</t>
  </si>
  <si>
    <t>406.868.9810</t>
  </si>
  <si>
    <t>daves@lumberyardsupply.com</t>
  </si>
  <si>
    <t>0165</t>
  </si>
  <si>
    <t>Dana Copeland</t>
  </si>
  <si>
    <t>PO Box 625  9223 N Harvard</t>
  </si>
  <si>
    <t>Newman Lake</t>
  </si>
  <si>
    <t>509.724.6629</t>
  </si>
  <si>
    <t>danac@lumberyardsupply.com</t>
  </si>
  <si>
    <t>3425 S. Arthur</t>
  </si>
  <si>
    <t>lukem@lumberyardsupply.com</t>
  </si>
  <si>
    <t>0159</t>
  </si>
  <si>
    <t>0171</t>
  </si>
  <si>
    <t>Robert Flugel</t>
  </si>
  <si>
    <t>41226 N. Sherman Rd.</t>
  </si>
  <si>
    <t>Deer Park</t>
  </si>
  <si>
    <t>509.723.7783</t>
  </si>
  <si>
    <t>robf@lumberyardsupply.com</t>
  </si>
  <si>
    <t>147 Sand Hill Crane Drive</t>
  </si>
  <si>
    <t>Warrens</t>
  </si>
  <si>
    <t>8735 Newton Lake Road/PO Box 486</t>
  </si>
  <si>
    <t>50tony@wausausupply.com</t>
  </si>
  <si>
    <r>
      <t>3212 S 25</t>
    </r>
    <r>
      <rPr>
        <vertAlign val="superscript"/>
        <sz val="11"/>
        <color rgb="FF1F497D"/>
        <rFont val="Calibri"/>
        <family val="2"/>
        <scheme val="minor"/>
      </rPr>
      <t>th</t>
    </r>
    <r>
      <rPr>
        <sz val="11"/>
        <color rgb="FF1F497D"/>
        <rFont val="Calibri"/>
        <family val="2"/>
        <scheme val="minor"/>
      </rPr>
      <t xml:space="preserve"> Ave</t>
    </r>
  </si>
  <si>
    <t>0133</t>
  </si>
  <si>
    <t>Zach Westfall</t>
  </si>
  <si>
    <t>629 W. Chrisitine Lane</t>
  </si>
  <si>
    <t>Republic</t>
  </si>
  <si>
    <t>zach.westfall@wausausupply.com</t>
  </si>
  <si>
    <t>0168</t>
  </si>
  <si>
    <t>Chad Munson</t>
  </si>
  <si>
    <t>1139 S. Spinnaker Drive</t>
  </si>
  <si>
    <t>Oologah</t>
  </si>
  <si>
    <t>chad.munson@wausausupply.com</t>
  </si>
  <si>
    <t>9johna@wausausupply.com</t>
  </si>
  <si>
    <t>0046</t>
  </si>
  <si>
    <t>Verne Larson</t>
  </si>
  <si>
    <t>6470 Shadybrook Trail</t>
  </si>
  <si>
    <t>Machesney Park</t>
  </si>
  <si>
    <t>verne.larson@wausausupply.com</t>
  </si>
  <si>
    <t>8tina@wausausupply.com</t>
  </si>
  <si>
    <t>0137</t>
  </si>
  <si>
    <t>Cheryl Asmus</t>
  </si>
  <si>
    <t>7531 152nd Lane NW</t>
  </si>
  <si>
    <t>715.383.5264</t>
  </si>
  <si>
    <t>cheryl.asmus@waudenamillwork.com</t>
  </si>
  <si>
    <t>0154</t>
  </si>
  <si>
    <t>Kyle Marsh</t>
  </si>
  <si>
    <t>2605 Shadow Wood Trail</t>
  </si>
  <si>
    <t>Laurel</t>
  </si>
  <si>
    <t>406.660.0584</t>
  </si>
  <si>
    <t>kyle@lumberyardsupply.com</t>
  </si>
  <si>
    <t>0118</t>
  </si>
  <si>
    <t>Nathan Salo</t>
  </si>
  <si>
    <t>122 Donna Avenue</t>
  </si>
  <si>
    <t>715.563.7284</t>
  </si>
  <si>
    <t>nathan.salo@wausausupply.com</t>
  </si>
  <si>
    <t>0100</t>
  </si>
  <si>
    <t>Mark Weishaar</t>
  </si>
  <si>
    <t>16886 Eldorado Ct.</t>
  </si>
  <si>
    <t>Piedmont</t>
  </si>
  <si>
    <t>605.787.0291</t>
  </si>
  <si>
    <t>mark.weishaar@wausausupply.com</t>
  </si>
  <si>
    <t>Tim Mellgren</t>
  </si>
  <si>
    <t xml:space="preserve">151 Fairway Drive  </t>
  </si>
  <si>
    <t>406.868.6901</t>
  </si>
  <si>
    <t>timm@lumberyardsupply.com</t>
  </si>
  <si>
    <t>US</t>
  </si>
  <si>
    <t>NA</t>
  </si>
  <si>
    <t xml:space="preserve">East </t>
  </si>
  <si>
    <t>West</t>
  </si>
  <si>
    <t>WSC_Title</t>
  </si>
  <si>
    <t>WSC_Contact</t>
  </si>
  <si>
    <t>Add</t>
  </si>
  <si>
    <t>ZIP</t>
  </si>
  <si>
    <t>PH</t>
  </si>
  <si>
    <t>Email</t>
  </si>
  <si>
    <t>RBP</t>
  </si>
  <si>
    <t>Waudena_NAM</t>
  </si>
  <si>
    <t>Waudena _TM</t>
  </si>
  <si>
    <t>Waudena_Director</t>
  </si>
  <si>
    <t>Director of Sales</t>
  </si>
  <si>
    <t>WSC_SAM</t>
  </si>
  <si>
    <t>WSC_Director</t>
  </si>
  <si>
    <t>WSC_RM</t>
  </si>
  <si>
    <t>WSC_TM</t>
  </si>
  <si>
    <t>WSC_SS</t>
  </si>
  <si>
    <t>WSC_VP_Sales</t>
  </si>
  <si>
    <t>Business Unit</t>
  </si>
  <si>
    <t>Waudena</t>
  </si>
  <si>
    <t>Wausau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</si>
</sst>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4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Franklin Gothic Book"/>
      <family val="2"/>
    </font>
    <font>
      <u/>
      <sz val="10"/>
      <color theme="1"/>
      <name val="Franklin Gothic Book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0"/>
      <color theme="0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Franklin Gothic Medium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vertAlign val="superscript"/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rgb="FF000000"/>
      <name val="Tablet Gothic"/>
      <family val="3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rgb="FF2B2E2F"/>
      <name val="Lucida Sans Unicode"/>
      <family val="2"/>
    </font>
    <font>
      <b/>
      <sz val="13.5"/>
      <color rgb="FF99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4"/>
      <color theme="0"/>
      <name val="Tablet Gothic"/>
      <family val="3"/>
    </font>
    <font>
      <b/>
      <sz val="10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455464"/>
      <name val="Arial"/>
      <family val="2"/>
    </font>
    <font>
      <b/>
      <sz val="10"/>
      <name val="Arial"/>
      <family val="2"/>
    </font>
    <font>
      <sz val="11"/>
      <color rgb="FF3B3838"/>
      <name val="Franklin Gothic Book"/>
      <family val="2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</font>
    <font>
      <u/>
      <sz val="10"/>
      <name val="Arial"/>
      <family val="2"/>
    </font>
    <font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medium">
        <color theme="4" tint="0.39997558519241921"/>
      </bottom>
      <diagonal/>
    </border>
    <border>
      <left/>
      <right style="thin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thin">
        <color auto="1"/>
      </right>
      <top style="medium">
        <color theme="4" tint="0.39997558519241921"/>
      </top>
      <bottom/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21" fillId="4" borderId="10" applyNumberFormat="0" applyFont="0" applyAlignment="0" applyProtection="0"/>
    <xf numFmtId="0" fontId="2" fillId="5" borderId="0" applyNumberFormat="0" applyBorder="0" applyAlignment="0" applyProtection="0"/>
    <xf numFmtId="0" fontId="34" fillId="7" borderId="0" applyNumberFormat="0" applyBorder="0" applyAlignment="0" applyProtection="0"/>
    <xf numFmtId="0" fontId="21" fillId="8" borderId="0" applyNumberFormat="0" applyBorder="0" applyAlignment="0" applyProtection="0"/>
    <xf numFmtId="0" fontId="1" fillId="5" borderId="0" applyNumberFormat="0" applyBorder="0" applyAlignment="0" applyProtection="0"/>
    <xf numFmtId="43" fontId="21" fillId="0" borderId="0" applyFont="0" applyFill="0" applyBorder="0" applyAlignment="0" applyProtection="0"/>
  </cellStyleXfs>
  <cellXfs count="320">
    <xf numFmtId="0" fontId="0" fillId="0" borderId="0" xfId="0"/>
    <xf numFmtId="0" fontId="6" fillId="0" borderId="0" xfId="0" applyFont="1"/>
    <xf numFmtId="0" fontId="3" fillId="0" borderId="0" xfId="3" applyFont="1"/>
    <xf numFmtId="0" fontId="3" fillId="0" borderId="0" xfId="4" applyFont="1" applyAlignment="1">
      <alignment horizontal="center"/>
    </xf>
    <xf numFmtId="0" fontId="3" fillId="0" borderId="0" xfId="3" applyFont="1" applyAlignment="1">
      <alignment shrinkToFit="1"/>
    </xf>
    <xf numFmtId="0" fontId="3" fillId="0" borderId="1" xfId="0" applyFont="1" applyBorder="1"/>
    <xf numFmtId="0" fontId="3" fillId="0" borderId="0" xfId="3" applyFont="1" applyAlignment="1">
      <alignment horizontal="left" shrinkToFit="1"/>
    </xf>
    <xf numFmtId="0" fontId="3" fillId="0" borderId="0" xfId="4" applyFont="1" applyAlignment="1">
      <alignment horizontal="center" wrapText="1" shrinkToFit="1"/>
    </xf>
    <xf numFmtId="0" fontId="6" fillId="3" borderId="0" xfId="0" applyFont="1" applyFill="1"/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/>
    <xf numFmtId="0" fontId="3" fillId="0" borderId="0" xfId="0" applyFont="1" applyAlignment="1">
      <alignment vertical="center"/>
    </xf>
    <xf numFmtId="0" fontId="3" fillId="0" borderId="0" xfId="4" applyFont="1" applyAlignment="1">
      <alignment horizontal="center" shrinkToFit="1"/>
    </xf>
    <xf numFmtId="0" fontId="13" fillId="0" borderId="0" xfId="0" applyFont="1" applyAlignment="1">
      <alignment horizontal="center" vertical="center"/>
    </xf>
    <xf numFmtId="0" fontId="5" fillId="0" borderId="2" xfId="2" applyFill="1" applyBorder="1" applyAlignment="1" applyProtection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3" applyFont="1" applyBorder="1" applyAlignment="1">
      <alignment shrinkToFit="1"/>
    </xf>
    <xf numFmtId="0" fontId="3" fillId="0" borderId="3" xfId="4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3" fillId="3" borderId="0" xfId="0" applyFont="1" applyFill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3" borderId="2" xfId="2" applyFont="1" applyFill="1" applyBorder="1" applyAlignment="1" applyProtection="1">
      <alignment horizontal="left" vertical="center"/>
    </xf>
    <xf numFmtId="0" fontId="3" fillId="3" borderId="0" xfId="3" applyFont="1" applyFill="1" applyAlignment="1">
      <alignment horizontal="left" shrinkToFit="1"/>
    </xf>
    <xf numFmtId="0" fontId="3" fillId="3" borderId="0" xfId="4" applyFont="1" applyFill="1" applyAlignment="1">
      <alignment horizontal="center" wrapText="1" shrinkToFit="1"/>
    </xf>
    <xf numFmtId="0" fontId="3" fillId="3" borderId="0" xfId="3" applyFont="1" applyFill="1" applyAlignment="1">
      <alignment shrinkToFit="1"/>
    </xf>
    <xf numFmtId="0" fontId="3" fillId="3" borderId="0" xfId="4" applyFont="1" applyFill="1" applyAlignment="1">
      <alignment horizontal="center"/>
    </xf>
    <xf numFmtId="0" fontId="5" fillId="0" borderId="4" xfId="2" applyFill="1" applyBorder="1" applyAlignment="1" applyProtection="1">
      <alignment horizontal="left" vertic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3" xfId="0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49" fontId="14" fillId="3" borderId="0" xfId="0" applyNumberFormat="1" applyFont="1" applyFill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13" fillId="0" borderId="3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0" xfId="0" applyNumberFormat="1" applyFont="1"/>
    <xf numFmtId="49" fontId="0" fillId="0" borderId="0" xfId="0" applyNumberFormat="1"/>
    <xf numFmtId="0" fontId="17" fillId="0" borderId="3" xfId="0" applyFont="1" applyBorder="1"/>
    <xf numFmtId="0" fontId="9" fillId="3" borderId="4" xfId="2" applyFont="1" applyFill="1" applyBorder="1" applyAlignment="1" applyProtection="1">
      <alignment horizontal="left" vertical="center"/>
    </xf>
    <xf numFmtId="0" fontId="0" fillId="0" borderId="3" xfId="0" applyBorder="1" applyAlignment="1">
      <alignment horizontal="center" vertical="center"/>
    </xf>
    <xf numFmtId="0" fontId="5" fillId="0" borderId="6" xfId="2" applyFill="1" applyBorder="1" applyAlignment="1" applyProtection="1">
      <alignment horizontal="left" vertical="center"/>
    </xf>
    <xf numFmtId="0" fontId="5" fillId="0" borderId="2" xfId="2" applyFill="1" applyBorder="1" applyAlignment="1" applyProtection="1"/>
    <xf numFmtId="0" fontId="13" fillId="0" borderId="7" xfId="0" applyFont="1" applyBorder="1" applyAlignment="1">
      <alignment horizontal="left" wrapText="1"/>
    </xf>
    <xf numFmtId="0" fontId="14" fillId="0" borderId="8" xfId="0" applyFont="1" applyBorder="1" applyAlignment="1">
      <alignment horizontal="left" indent="1"/>
    </xf>
    <xf numFmtId="0" fontId="3" fillId="0" borderId="7" xfId="0" applyFont="1" applyBorder="1" applyAlignment="1">
      <alignment horizontal="left" indent="1"/>
    </xf>
    <xf numFmtId="0" fontId="3" fillId="3" borderId="7" xfId="0" applyFont="1" applyFill="1" applyBorder="1" applyAlignment="1">
      <alignment horizontal="left" indent="1"/>
    </xf>
    <xf numFmtId="0" fontId="14" fillId="0" borderId="8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left" indent="1"/>
    </xf>
    <xf numFmtId="0" fontId="3" fillId="0" borderId="8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0" fillId="2" borderId="7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5" fillId="0" borderId="5" xfId="2" applyFill="1" applyBorder="1" applyAlignment="1" applyProtection="1">
      <alignment horizontal="left"/>
    </xf>
    <xf numFmtId="0" fontId="0" fillId="0" borderId="7" xfId="0" applyBorder="1" applyAlignment="1">
      <alignment horizontal="left" indent="1"/>
    </xf>
    <xf numFmtId="49" fontId="0" fillId="0" borderId="0" xfId="0" applyNumberFormat="1" applyAlignment="1">
      <alignment horizontal="center"/>
    </xf>
    <xf numFmtId="0" fontId="0" fillId="0" borderId="0" xfId="3" applyFont="1"/>
    <xf numFmtId="0" fontId="0" fillId="0" borderId="0" xfId="4" applyFont="1" applyAlignment="1">
      <alignment horizontal="center"/>
    </xf>
    <xf numFmtId="0" fontId="0" fillId="0" borderId="0" xfId="3" applyFont="1" applyAlignment="1">
      <alignment shrinkToFit="1"/>
    </xf>
    <xf numFmtId="49" fontId="24" fillId="0" borderId="0" xfId="0" applyNumberFormat="1" applyFont="1" applyAlignment="1">
      <alignment horizontal="center"/>
    </xf>
    <xf numFmtId="0" fontId="0" fillId="0" borderId="0" xfId="4" applyFont="1" applyAlignment="1">
      <alignment horizontal="center" shrinkToFit="1"/>
    </xf>
    <xf numFmtId="4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1" xfId="0" applyBorder="1"/>
    <xf numFmtId="0" fontId="25" fillId="0" borderId="0" xfId="0" applyFont="1"/>
    <xf numFmtId="0" fontId="26" fillId="0" borderId="0" xfId="0" applyFont="1"/>
    <xf numFmtId="0" fontId="0" fillId="0" borderId="0" xfId="3" applyFont="1" applyAlignment="1">
      <alignment horizontal="left" shrinkToFit="1"/>
    </xf>
    <xf numFmtId="0" fontId="0" fillId="0" borderId="0" xfId="4" applyFont="1" applyAlignment="1">
      <alignment horizontal="center" wrapText="1" shrinkToFit="1"/>
    </xf>
    <xf numFmtId="0" fontId="25" fillId="0" borderId="1" xfId="0" applyFont="1" applyBorder="1"/>
    <xf numFmtId="0" fontId="6" fillId="0" borderId="0" xfId="0" applyFont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indent="1"/>
    </xf>
    <xf numFmtId="49" fontId="24" fillId="0" borderId="12" xfId="0" applyNumberFormat="1" applyFont="1" applyBorder="1" applyAlignment="1">
      <alignment horizontal="center" vertical="center"/>
    </xf>
    <xf numFmtId="0" fontId="2" fillId="5" borderId="9" xfId="6" applyBorder="1" applyAlignment="1">
      <alignment horizontal="center"/>
    </xf>
    <xf numFmtId="0" fontId="2" fillId="5" borderId="9" xfId="6" applyBorder="1" applyAlignment="1">
      <alignment horizontal="left" indent="1"/>
    </xf>
    <xf numFmtId="0" fontId="2" fillId="5" borderId="9" xfId="6" applyBorder="1"/>
    <xf numFmtId="0" fontId="2" fillId="5" borderId="9" xfId="6" applyBorder="1" applyAlignment="1">
      <alignment shrinkToFit="1"/>
    </xf>
    <xf numFmtId="0" fontId="2" fillId="5" borderId="9" xfId="6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3" applyFont="1" applyAlignment="1">
      <alignment vertical="center" shrinkToFit="1"/>
    </xf>
    <xf numFmtId="0" fontId="0" fillId="0" borderId="0" xfId="4" applyFont="1" applyAlignment="1">
      <alignment horizontal="center" vertical="center"/>
    </xf>
    <xf numFmtId="49" fontId="0" fillId="5" borderId="9" xfId="6" applyNumberFormat="1" applyFont="1" applyBorder="1" applyAlignment="1">
      <alignment horizontal="center"/>
    </xf>
    <xf numFmtId="0" fontId="18" fillId="4" borderId="10" xfId="5" applyFont="1" applyAlignment="1">
      <alignment horizontal="center"/>
    </xf>
    <xf numFmtId="49" fontId="24" fillId="4" borderId="10" xfId="5" applyNumberFormat="1" applyFont="1" applyAlignment="1">
      <alignment horizontal="center"/>
    </xf>
    <xf numFmtId="0" fontId="18" fillId="4" borderId="10" xfId="5" applyFont="1" applyAlignment="1">
      <alignment horizontal="left" indent="1"/>
    </xf>
    <xf numFmtId="0" fontId="21" fillId="4" borderId="10" xfId="5" applyFont="1"/>
    <xf numFmtId="0" fontId="21" fillId="4" borderId="10" xfId="5" applyFont="1" applyAlignment="1">
      <alignment horizontal="center"/>
    </xf>
    <xf numFmtId="0" fontId="21" fillId="4" borderId="10" xfId="5" applyFont="1" applyAlignment="1">
      <alignment horizontal="center" vertical="center"/>
    </xf>
    <xf numFmtId="49" fontId="0" fillId="4" borderId="10" xfId="5" applyNumberFormat="1" applyFont="1" applyAlignment="1">
      <alignment horizontal="center"/>
    </xf>
    <xf numFmtId="0" fontId="21" fillId="4" borderId="10" xfId="5" applyFont="1" applyAlignment="1">
      <alignment shrinkToFit="1"/>
    </xf>
    <xf numFmtId="0" fontId="21" fillId="4" borderId="10" xfId="5" applyFont="1" applyAlignment="1">
      <alignment horizontal="center" shrinkToFit="1"/>
    </xf>
    <xf numFmtId="0" fontId="2" fillId="5" borderId="14" xfId="6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18" fillId="4" borderId="16" xfId="5" applyFont="1" applyBorder="1" applyAlignment="1">
      <alignment horizontal="left" indent="1"/>
    </xf>
    <xf numFmtId="0" fontId="0" fillId="0" borderId="7" xfId="0" applyBorder="1" applyAlignment="1">
      <alignment horizontal="left" vertical="center" indent="1"/>
    </xf>
    <xf numFmtId="0" fontId="27" fillId="0" borderId="7" xfId="0" applyFont="1" applyBorder="1" applyAlignment="1">
      <alignment horizontal="left" indent="1"/>
    </xf>
    <xf numFmtId="0" fontId="5" fillId="0" borderId="2" xfId="2" applyFill="1" applyBorder="1" applyAlignment="1" applyProtection="1">
      <alignment horizontal="right" vertical="center"/>
    </xf>
    <xf numFmtId="0" fontId="0" fillId="0" borderId="0" xfId="0" applyAlignment="1">
      <alignment horizontal="left"/>
    </xf>
    <xf numFmtId="0" fontId="29" fillId="2" borderId="0" xfId="0" applyFont="1" applyFill="1" applyAlignment="1">
      <alignment horizontal="center" vertical="center"/>
    </xf>
    <xf numFmtId="0" fontId="28" fillId="5" borderId="9" xfId="6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4" borderId="10" xfId="5" applyFont="1" applyAlignment="1">
      <alignment horizontal="center" vertical="center"/>
    </xf>
    <xf numFmtId="0" fontId="18" fillId="4" borderId="10" xfId="5" applyFont="1"/>
    <xf numFmtId="0" fontId="18" fillId="0" borderId="0" xfId="0" applyFont="1"/>
    <xf numFmtId="0" fontId="1" fillId="5" borderId="9" xfId="6" applyFont="1" applyBorder="1"/>
    <xf numFmtId="0" fontId="5" fillId="4" borderId="17" xfId="2" applyFill="1" applyBorder="1" applyAlignment="1" applyProtection="1">
      <alignment horizontal="right" vertical="center"/>
    </xf>
    <xf numFmtId="0" fontId="0" fillId="4" borderId="10" xfId="5" applyFont="1" applyAlignment="1">
      <alignment horizontal="center" vertical="center"/>
    </xf>
    <xf numFmtId="0" fontId="0" fillId="4" borderId="10" xfId="5" applyFont="1"/>
    <xf numFmtId="0" fontId="0" fillId="4" borderId="10" xfId="5" applyFont="1" applyAlignment="1">
      <alignment horizontal="center"/>
    </xf>
    <xf numFmtId="0" fontId="31" fillId="0" borderId="0" xfId="0" applyFont="1"/>
    <xf numFmtId="0" fontId="32" fillId="0" borderId="0" xfId="0" applyFont="1" applyAlignment="1">
      <alignment vertical="center" wrapText="1"/>
    </xf>
    <xf numFmtId="0" fontId="33" fillId="0" borderId="3" xfId="0" applyFont="1" applyBorder="1" applyAlignment="1">
      <alignment vertical="top" wrapText="1"/>
    </xf>
    <xf numFmtId="0" fontId="33" fillId="0" borderId="3" xfId="0" applyFont="1" applyBorder="1" applyAlignment="1">
      <alignment horizontal="left" vertical="center" wrapText="1"/>
    </xf>
    <xf numFmtId="0" fontId="0" fillId="0" borderId="3" xfId="0" applyBorder="1"/>
    <xf numFmtId="0" fontId="0" fillId="0" borderId="0" xfId="0" applyAlignment="1">
      <alignment vertical="center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 vertical="center"/>
    </xf>
    <xf numFmtId="0" fontId="0" fillId="0" borderId="3" xfId="0" applyBorder="1" applyAlignment="1">
      <alignment horizontal="left"/>
    </xf>
    <xf numFmtId="0" fontId="0" fillId="6" borderId="0" xfId="0" applyFill="1"/>
    <xf numFmtId="0" fontId="25" fillId="6" borderId="0" xfId="0" applyFont="1" applyFill="1"/>
    <xf numFmtId="0" fontId="30" fillId="6" borderId="0" xfId="0" applyFont="1" applyFill="1"/>
    <xf numFmtId="0" fontId="5" fillId="0" borderId="0" xfId="2" applyFill="1" applyBorder="1" applyAlignment="1" applyProtection="1"/>
    <xf numFmtId="0" fontId="0" fillId="0" borderId="18" xfId="0" applyBorder="1" applyAlignment="1">
      <alignment horizontal="left" indent="1"/>
    </xf>
    <xf numFmtId="0" fontId="5" fillId="4" borderId="17" xfId="2" applyFill="1" applyBorder="1" applyAlignment="1" applyProtection="1">
      <alignment horizontal="right"/>
    </xf>
    <xf numFmtId="0" fontId="5" fillId="5" borderId="15" xfId="2" applyFill="1" applyBorder="1" applyAlignment="1" applyProtection="1">
      <alignment horizontal="right" vertical="center"/>
    </xf>
    <xf numFmtId="0" fontId="5" fillId="0" borderId="13" xfId="2" applyFill="1" applyBorder="1" applyAlignment="1" applyProtection="1">
      <alignment horizontal="right" vertical="center"/>
    </xf>
    <xf numFmtId="0" fontId="1" fillId="0" borderId="0" xfId="0" applyFont="1" applyAlignment="1">
      <alignment horizontal="left" vertical="center"/>
    </xf>
    <xf numFmtId="0" fontId="29" fillId="2" borderId="19" xfId="0" applyFont="1" applyFill="1" applyBorder="1" applyAlignment="1">
      <alignment horizontal="center" vertical="center"/>
    </xf>
    <xf numFmtId="49" fontId="29" fillId="2" borderId="19" xfId="0" applyNumberFormat="1" applyFont="1" applyFill="1" applyBorder="1" applyAlignment="1">
      <alignment horizontal="center" vertical="center" wrapText="1"/>
    </xf>
    <xf numFmtId="0" fontId="36" fillId="2" borderId="19" xfId="0" applyFont="1" applyFill="1" applyBorder="1" applyAlignment="1">
      <alignment horizontal="center" vertical="center"/>
    </xf>
    <xf numFmtId="0" fontId="37" fillId="7" borderId="0" xfId="7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3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2" fillId="0" borderId="0" xfId="6" applyFill="1" applyBorder="1" applyAlignment="1">
      <alignment horizontal="center"/>
    </xf>
    <xf numFmtId="49" fontId="0" fillId="0" borderId="0" xfId="6" applyNumberFormat="1" applyFont="1" applyFill="1" applyBorder="1" applyAlignment="1">
      <alignment horizontal="center"/>
    </xf>
    <xf numFmtId="0" fontId="2" fillId="0" borderId="0" xfId="6" applyFill="1" applyBorder="1" applyAlignment="1">
      <alignment horizontal="left" indent="1"/>
    </xf>
    <xf numFmtId="0" fontId="2" fillId="0" borderId="0" xfId="6" applyFill="1" applyBorder="1" applyAlignment="1">
      <alignment shrinkToFit="1"/>
    </xf>
    <xf numFmtId="0" fontId="28" fillId="0" borderId="0" xfId="6" applyFont="1" applyFill="1" applyBorder="1" applyAlignment="1">
      <alignment horizontal="center" vertical="center"/>
    </xf>
    <xf numFmtId="0" fontId="1" fillId="0" borderId="0" xfId="6" applyFont="1" applyFill="1" applyBorder="1" applyAlignment="1">
      <alignment horizontal="center" vertical="center"/>
    </xf>
    <xf numFmtId="0" fontId="24" fillId="0" borderId="22" xfId="0" applyFont="1" applyBorder="1" applyAlignment="1">
      <alignment horizontal="left" indent="1"/>
    </xf>
    <xf numFmtId="0" fontId="0" fillId="0" borderId="23" xfId="0" applyBorder="1" applyAlignment="1">
      <alignment horizontal="center"/>
    </xf>
    <xf numFmtId="49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left" indent="1"/>
    </xf>
    <xf numFmtId="0" fontId="0" fillId="0" borderId="23" xfId="0" applyBorder="1"/>
    <xf numFmtId="0" fontId="0" fillId="0" borderId="23" xfId="3" applyFont="1" applyBorder="1" applyAlignment="1">
      <alignment horizontal="left" shrinkToFit="1"/>
    </xf>
    <xf numFmtId="0" fontId="0" fillId="0" borderId="23" xfId="4" applyFont="1" applyBorder="1" applyAlignment="1">
      <alignment horizontal="center" wrapText="1" shrinkToFit="1"/>
    </xf>
    <xf numFmtId="0" fontId="18" fillId="0" borderId="23" xfId="0" applyFont="1" applyBorder="1" applyAlignment="1">
      <alignment horizontal="center"/>
    </xf>
    <xf numFmtId="0" fontId="5" fillId="0" borderId="24" xfId="2" applyFill="1" applyBorder="1" applyAlignment="1" applyProtection="1">
      <alignment horizontal="right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5" fillId="5" borderId="0" xfId="2" applyFill="1" applyBorder="1" applyAlignment="1" applyProtection="1">
      <alignment horizontal="right" vertical="center"/>
    </xf>
    <xf numFmtId="0" fontId="5" fillId="0" borderId="0" xfId="2" applyFill="1" applyBorder="1" applyAlignment="1" applyProtection="1">
      <alignment horizontal="right" vertical="center"/>
    </xf>
    <xf numFmtId="0" fontId="5" fillId="0" borderId="0" xfId="2" applyFill="1" applyBorder="1" applyAlignment="1" applyProtection="1">
      <alignment horizontal="right"/>
    </xf>
    <xf numFmtId="0" fontId="5" fillId="4" borderId="0" xfId="2" applyFill="1" applyBorder="1" applyAlignment="1" applyProtection="1">
      <alignment horizontal="right" vertical="center"/>
    </xf>
    <xf numFmtId="0" fontId="5" fillId="4" borderId="0" xfId="2" applyFill="1" applyBorder="1" applyAlignment="1" applyProtection="1">
      <alignment horizontal="right"/>
    </xf>
    <xf numFmtId="0" fontId="2" fillId="5" borderId="14" xfId="6" applyBorder="1" applyAlignment="1">
      <alignment horizontal="left" vertical="center" indent="1"/>
    </xf>
    <xf numFmtId="0" fontId="27" fillId="0" borderId="8" xfId="0" applyFont="1" applyBorder="1" applyAlignment="1">
      <alignment horizontal="left" indent="1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indent="1"/>
    </xf>
    <xf numFmtId="0" fontId="18" fillId="0" borderId="3" xfId="0" applyFont="1" applyBorder="1" applyAlignment="1">
      <alignment horizontal="center" vertical="center"/>
    </xf>
    <xf numFmtId="0" fontId="5" fillId="0" borderId="4" xfId="2" applyFill="1" applyBorder="1" applyAlignment="1" applyProtection="1">
      <alignment horizontal="right" vertical="center"/>
    </xf>
    <xf numFmtId="0" fontId="5" fillId="0" borderId="0" xfId="2" applyFill="1" applyBorder="1" applyAlignment="1" applyProtection="1">
      <alignment horizontal="left" vertical="center"/>
    </xf>
    <xf numFmtId="0" fontId="40" fillId="0" borderId="0" xfId="0" applyFont="1"/>
    <xf numFmtId="0" fontId="41" fillId="4" borderId="0" xfId="2" applyFont="1" applyFill="1" applyBorder="1" applyAlignment="1" applyProtection="1">
      <alignment horizontal="left" vertical="center"/>
    </xf>
    <xf numFmtId="0" fontId="29" fillId="2" borderId="19" xfId="0" applyFont="1" applyFill="1" applyBorder="1" applyAlignment="1">
      <alignment horizontal="center" vertical="center" wrapText="1"/>
    </xf>
    <xf numFmtId="0" fontId="2" fillId="5" borderId="9" xfId="6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wrapText="1"/>
    </xf>
    <xf numFmtId="0" fontId="27" fillId="0" borderId="0" xfId="0" applyFont="1" applyAlignment="1">
      <alignment horizontal="left" wrapText="1"/>
    </xf>
    <xf numFmtId="0" fontId="24" fillId="0" borderId="23" xfId="0" applyFont="1" applyBorder="1" applyAlignment="1">
      <alignment horizontal="left" wrapText="1"/>
    </xf>
    <xf numFmtId="0" fontId="2" fillId="5" borderId="9" xfId="6" applyBorder="1" applyAlignment="1">
      <alignment horizontal="left" vertical="center" wrapText="1"/>
    </xf>
    <xf numFmtId="0" fontId="18" fillId="4" borderId="25" xfId="5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27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0" xfId="6" applyFont="1" applyFill="1" applyBorder="1"/>
    <xf numFmtId="0" fontId="18" fillId="4" borderId="0" xfId="5" applyFont="1" applyBorder="1" applyAlignment="1">
      <alignment horizontal="left" indent="1"/>
    </xf>
    <xf numFmtId="0" fontId="18" fillId="4" borderId="0" xfId="5" applyFont="1" applyBorder="1" applyAlignment="1">
      <alignment horizontal="left" wrapText="1"/>
    </xf>
    <xf numFmtId="49" fontId="0" fillId="4" borderId="0" xfId="5" applyNumberFormat="1" applyFont="1" applyBorder="1" applyAlignment="1">
      <alignment horizontal="center"/>
    </xf>
    <xf numFmtId="0" fontId="21" fillId="4" borderId="0" xfId="5" applyFont="1" applyBorder="1" applyAlignment="1">
      <alignment horizontal="center"/>
    </xf>
    <xf numFmtId="0" fontId="18" fillId="4" borderId="0" xfId="5" applyFont="1" applyBorder="1"/>
    <xf numFmtId="0" fontId="5" fillId="4" borderId="2" xfId="2" applyFill="1" applyBorder="1" applyAlignment="1" applyProtection="1">
      <alignment horizontal="right"/>
    </xf>
    <xf numFmtId="0" fontId="0" fillId="4" borderId="0" xfId="5" applyFont="1" applyBorder="1" applyAlignment="1">
      <alignment shrinkToFit="1"/>
    </xf>
    <xf numFmtId="0" fontId="0" fillId="4" borderId="0" xfId="5" applyFont="1" applyBorder="1" applyAlignment="1">
      <alignment horizontal="center"/>
    </xf>
    <xf numFmtId="0" fontId="0" fillId="4" borderId="0" xfId="5" applyFont="1" applyBorder="1"/>
    <xf numFmtId="0" fontId="42" fillId="0" borderId="0" xfId="0" applyFont="1"/>
    <xf numFmtId="0" fontId="0" fillId="0" borderId="1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/>
    <xf numFmtId="0" fontId="0" fillId="0" borderId="27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8" xfId="0" applyBorder="1"/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26" xfId="0" applyBorder="1"/>
    <xf numFmtId="0" fontId="0" fillId="0" borderId="0" xfId="0" applyAlignment="1">
      <alignment horizontal="center" wrapText="1"/>
    </xf>
    <xf numFmtId="0" fontId="0" fillId="0" borderId="29" xfId="0" applyBorder="1"/>
    <xf numFmtId="0" fontId="0" fillId="0" borderId="32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46" fillId="0" borderId="0" xfId="0" applyFont="1"/>
    <xf numFmtId="0" fontId="43" fillId="0" borderId="0" xfId="8" applyFont="1" applyFill="1" applyBorder="1" applyAlignment="1">
      <alignment horizontal="left" indent="1"/>
    </xf>
    <xf numFmtId="0" fontId="43" fillId="0" borderId="0" xfId="8" applyFont="1" applyFill="1" applyBorder="1" applyAlignment="1">
      <alignment horizontal="center"/>
    </xf>
    <xf numFmtId="0" fontId="43" fillId="0" borderId="0" xfId="8" applyFont="1" applyFill="1" applyBorder="1" applyAlignment="1">
      <alignment horizontal="left" wrapText="1"/>
    </xf>
    <xf numFmtId="0" fontId="43" fillId="0" borderId="0" xfId="8" applyFont="1" applyFill="1" applyBorder="1"/>
    <xf numFmtId="0" fontId="43" fillId="0" borderId="0" xfId="8" applyFont="1" applyFill="1" applyBorder="1" applyAlignment="1">
      <alignment shrinkToFit="1"/>
    </xf>
    <xf numFmtId="0" fontId="43" fillId="0" borderId="0" xfId="8" applyFont="1" applyFill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32" xfId="0" applyFont="1" applyBorder="1" applyAlignment="1">
      <alignment horizontal="center" wrapText="1"/>
    </xf>
    <xf numFmtId="0" fontId="18" fillId="0" borderId="31" xfId="0" applyFont="1" applyBorder="1" applyAlignment="1">
      <alignment horizontal="center" wrapText="1"/>
    </xf>
    <xf numFmtId="0" fontId="18" fillId="0" borderId="30" xfId="0" applyFont="1" applyBorder="1" applyAlignment="1">
      <alignment horizontal="center" wrapText="1"/>
    </xf>
    <xf numFmtId="0" fontId="18" fillId="0" borderId="32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35" fillId="2" borderId="20" xfId="0" applyFont="1" applyFill="1" applyBorder="1" applyAlignment="1">
      <alignment horizontal="center" vertical="center"/>
    </xf>
    <xf numFmtId="0" fontId="35" fillId="2" borderId="21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44" fillId="0" borderId="0" xfId="2" applyFont="1" applyFill="1" applyBorder="1" applyAlignment="1" applyProtection="1">
      <alignment horizontal="center" vertical="center"/>
    </xf>
    <xf numFmtId="0" fontId="43" fillId="0" borderId="0" xfId="6" applyFont="1" applyFill="1" applyBorder="1" applyAlignment="1">
      <alignment horizontal="center"/>
    </xf>
    <xf numFmtId="0" fontId="43" fillId="0" borderId="0" xfId="6" applyFont="1" applyFill="1" applyBorder="1"/>
    <xf numFmtId="0" fontId="43" fillId="0" borderId="0" xfId="6" applyFont="1" applyFill="1" applyBorder="1" applyAlignment="1">
      <alignment shrinkToFit="1"/>
    </xf>
    <xf numFmtId="0" fontId="43" fillId="0" borderId="0" xfId="6" applyFont="1" applyFill="1" applyBorder="1" applyAlignment="1">
      <alignment horizontal="center" vertical="center"/>
    </xf>
    <xf numFmtId="0" fontId="43" fillId="0" borderId="0" xfId="6" applyFont="1" applyFill="1" applyBorder="1" applyAlignment="1">
      <alignment horizontal="left" wrapText="1"/>
    </xf>
    <xf numFmtId="0" fontId="47" fillId="0" borderId="0" xfId="2" applyFont="1" applyFill="1" applyBorder="1" applyAlignment="1" applyProtection="1">
      <alignment horizontal="center" vertical="center"/>
    </xf>
    <xf numFmtId="0" fontId="43" fillId="0" borderId="0" xfId="6" applyFont="1" applyFill="1" applyBorder="1" applyAlignment="1">
      <alignment horizontal="left"/>
    </xf>
    <xf numFmtId="0" fontId="47" fillId="0" borderId="0" xfId="2" applyFont="1" applyFill="1" applyBorder="1" applyAlignment="1" applyProtection="1">
      <alignment horizontal="center"/>
    </xf>
    <xf numFmtId="0" fontId="44" fillId="0" borderId="0" xfId="2" applyFont="1" applyFill="1" applyBorder="1" applyAlignment="1" applyProtection="1">
      <alignment horizontal="center"/>
    </xf>
    <xf numFmtId="0" fontId="43" fillId="0" borderId="0" xfId="9" applyFont="1" applyFill="1" applyBorder="1" applyAlignment="1">
      <alignment horizontal="center"/>
    </xf>
    <xf numFmtId="0" fontId="43" fillId="0" borderId="0" xfId="9" applyFont="1" applyFill="1" applyBorder="1"/>
    <xf numFmtId="0" fontId="43" fillId="0" borderId="0" xfId="9" applyFont="1" applyFill="1" applyBorder="1" applyAlignment="1">
      <alignment shrinkToFit="1"/>
    </xf>
    <xf numFmtId="0" fontId="43" fillId="0" borderId="0" xfId="9" applyFont="1" applyFill="1" applyBorder="1" applyAlignment="1">
      <alignment horizontal="center" vertical="center"/>
    </xf>
    <xf numFmtId="0" fontId="47" fillId="0" borderId="0" xfId="2" applyFont="1" applyFill="1" applyBorder="1" applyAlignment="1" applyProtection="1">
      <alignment horizontal="center" vertical="center" wrapText="1"/>
    </xf>
    <xf numFmtId="0" fontId="48" fillId="0" borderId="0" xfId="2" applyFont="1" applyFill="1" applyBorder="1" applyAlignment="1" applyProtection="1">
      <alignment horizontal="center" vertical="center"/>
    </xf>
    <xf numFmtId="0" fontId="48" fillId="0" borderId="0" xfId="2" applyFont="1" applyFill="1" applyBorder="1" applyAlignment="1" applyProtection="1">
      <alignment horizontal="center"/>
    </xf>
    <xf numFmtId="49" fontId="43" fillId="0" borderId="0" xfId="10" applyNumberFormat="1" applyFont="1" applyFill="1" applyBorder="1" applyAlignment="1">
      <alignment horizontal="center"/>
    </xf>
    <xf numFmtId="0" fontId="24" fillId="0" borderId="0" xfId="6" applyFont="1" applyFill="1" applyBorder="1" applyAlignment="1">
      <alignment horizontal="left" indent="1"/>
    </xf>
    <xf numFmtId="0" fontId="24" fillId="0" borderId="0" xfId="6" applyFont="1" applyFill="1" applyBorder="1" applyAlignment="1">
      <alignment horizontal="center" indent="1"/>
    </xf>
    <xf numFmtId="0" fontId="24" fillId="0" borderId="0" xfId="0" applyFont="1" applyFill="1" applyBorder="1"/>
    <xf numFmtId="0" fontId="43" fillId="0" borderId="0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indent="1"/>
    </xf>
    <xf numFmtId="0" fontId="43" fillId="0" borderId="0" xfId="0" applyFont="1" applyFill="1" applyBorder="1" applyAlignment="1">
      <alignment horizontal="center"/>
    </xf>
    <xf numFmtId="0" fontId="43" fillId="0" borderId="0" xfId="3" applyFont="1" applyFill="1" applyBorder="1" applyAlignment="1">
      <alignment horizontal="left" shrinkToFit="1"/>
    </xf>
    <xf numFmtId="0" fontId="43" fillId="0" borderId="0" xfId="4" applyFont="1" applyFill="1" applyBorder="1" applyAlignment="1">
      <alignment horizontal="center" wrapText="1" shrinkToFit="1"/>
    </xf>
    <xf numFmtId="0" fontId="43" fillId="0" borderId="0" xfId="0" applyFont="1" applyFill="1" applyBorder="1"/>
    <xf numFmtId="0" fontId="43" fillId="0" borderId="0" xfId="0" applyFont="1" applyFill="1" applyBorder="1" applyAlignment="1">
      <alignment horizontal="left" vertical="center" wrapText="1"/>
    </xf>
    <xf numFmtId="0" fontId="43" fillId="0" borderId="0" xfId="0" applyFont="1" applyFill="1" applyBorder="1" applyAlignment="1">
      <alignment vertical="center"/>
    </xf>
    <xf numFmtId="0" fontId="43" fillId="0" borderId="0" xfId="3" applyFont="1" applyFill="1" applyBorder="1" applyAlignment="1">
      <alignment vertical="center" shrinkToFit="1"/>
    </xf>
    <xf numFmtId="0" fontId="43" fillId="0" borderId="0" xfId="4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43" fillId="0" borderId="0" xfId="3" applyFont="1" applyFill="1" applyBorder="1" applyAlignment="1">
      <alignment shrinkToFit="1"/>
    </xf>
    <xf numFmtId="0" fontId="43" fillId="0" borderId="0" xfId="4" applyFont="1" applyFill="1" applyBorder="1" applyAlignment="1">
      <alignment horizontal="center"/>
    </xf>
    <xf numFmtId="0" fontId="43" fillId="0" borderId="0" xfId="0" applyFont="1" applyFill="1" applyBorder="1" applyAlignment="1">
      <alignment horizontal="center" indent="1"/>
    </xf>
    <xf numFmtId="0" fontId="43" fillId="0" borderId="0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horizontal="left"/>
    </xf>
    <xf numFmtId="0" fontId="43" fillId="0" borderId="0" xfId="3" applyFont="1" applyFill="1" applyBorder="1" applyAlignment="1">
      <alignment horizontal="left" vertical="center" shrinkToFit="1"/>
    </xf>
    <xf numFmtId="0" fontId="43" fillId="0" borderId="0" xfId="4" applyFont="1" applyFill="1" applyBorder="1" applyAlignment="1">
      <alignment horizontal="center" vertical="center" wrapText="1" shrinkToFit="1"/>
    </xf>
    <xf numFmtId="49" fontId="43" fillId="0" borderId="0" xfId="0" applyNumberFormat="1" applyFont="1" applyFill="1" applyBorder="1" applyAlignment="1">
      <alignment horizontal="center"/>
    </xf>
    <xf numFmtId="0" fontId="45" fillId="0" borderId="0" xfId="0" applyFont="1" applyFill="1" applyBorder="1" applyAlignment="1">
      <alignment horizontal="center"/>
    </xf>
    <xf numFmtId="0" fontId="43" fillId="0" borderId="0" xfId="4" applyFont="1" applyFill="1" applyBorder="1" applyAlignment="1">
      <alignment horizontal="center" shrinkToFit="1"/>
    </xf>
    <xf numFmtId="49" fontId="43" fillId="0" borderId="0" xfId="0" applyNumberFormat="1" applyFont="1" applyFill="1" applyBorder="1" applyAlignment="1">
      <alignment horizontal="left"/>
    </xf>
    <xf numFmtId="0" fontId="24" fillId="0" borderId="0" xfId="6" applyFont="1" applyFill="1" applyBorder="1" applyAlignment="1">
      <alignment horizontal="left" vertical="top"/>
    </xf>
    <xf numFmtId="0" fontId="43" fillId="0" borderId="0" xfId="0" applyFont="1" applyFill="1" applyBorder="1" applyAlignment="1">
      <alignment vertical="top"/>
    </xf>
    <xf numFmtId="0" fontId="43" fillId="0" borderId="0" xfId="0" applyFont="1" applyFill="1" applyBorder="1" applyAlignment="1">
      <alignment horizontal="left" vertical="top"/>
    </xf>
    <xf numFmtId="0" fontId="43" fillId="0" borderId="0" xfId="8" applyFont="1" applyFill="1" applyBorder="1" applyAlignment="1">
      <alignment horizontal="left" vertical="top"/>
    </xf>
    <xf numFmtId="0" fontId="24" fillId="0" borderId="0" xfId="6" applyFont="1" applyFill="1" applyBorder="1" applyAlignment="1"/>
    <xf numFmtId="0" fontId="43" fillId="0" borderId="0" xfId="6" applyFont="1" applyFill="1" applyBorder="1" applyAlignment="1"/>
    <xf numFmtId="0" fontId="43" fillId="0" borderId="0" xfId="0" applyFont="1" applyFill="1" applyBorder="1" applyAlignment="1"/>
    <xf numFmtId="0" fontId="43" fillId="0" borderId="0" xfId="8" applyFont="1" applyFill="1" applyBorder="1" applyAlignment="1"/>
    <xf numFmtId="0" fontId="43" fillId="0" borderId="0" xfId="9" applyFont="1" applyFill="1" applyBorder="1" applyAlignment="1"/>
    <xf numFmtId="0" fontId="45" fillId="0" borderId="0" xfId="0" applyFont="1" applyFill="1" applyBorder="1" applyAlignment="1"/>
    <xf numFmtId="0" fontId="24" fillId="0" borderId="0" xfId="6" applyFont="1" applyFill="1" applyBorder="1" applyAlignment="1">
      <alignment horizontal="left"/>
    </xf>
    <xf numFmtId="0" fontId="43" fillId="0" borderId="0" xfId="8" applyFont="1" applyFill="1" applyBorder="1" applyAlignment="1">
      <alignment horizontal="left"/>
    </xf>
    <xf numFmtId="0" fontId="43" fillId="6" borderId="0" xfId="0" applyFont="1" applyFill="1" applyBorder="1" applyAlignment="1">
      <alignment horizontal="center" vertical="center"/>
    </xf>
  </cellXfs>
  <cellStyles count="11">
    <cellStyle name="20% - Accent4" xfId="8" builtinId="42"/>
    <cellStyle name="20% - Accent5" xfId="6" builtinId="46"/>
    <cellStyle name="20% - Accent5 2" xfId="9" xr:uid="{00000000-0005-0000-0000-000002000000}"/>
    <cellStyle name="Comma" xfId="10" builtinId="3"/>
    <cellStyle name="Good" xfId="7" builtinId="26"/>
    <cellStyle name="Hyperlink" xfId="2" builtinId="8"/>
    <cellStyle name="Normal" xfId="0" builtinId="0"/>
    <cellStyle name="Normal 2" xfId="1" xr:uid="{00000000-0005-0000-0000-000007000000}"/>
    <cellStyle name="Normal 4" xfId="3" xr:uid="{00000000-0005-0000-0000-000008000000}"/>
    <cellStyle name="Normal 5" xfId="4" xr:uid="{00000000-0005-0000-0000-000009000000}"/>
    <cellStyle name="Note" xfId="5" builtinId="10"/>
  </cellStyles>
  <dxfs count="0"/>
  <tableStyles count="1" defaultTableStyle="TableStyleMedium9" defaultPivotStyle="PivotStyleLight16">
    <tableStyle name="Invisible" pivot="0" table="0" count="0" xr9:uid="{B2AE3404-982C-46D7-B7D9-959EE8A7E75D}"/>
  </tableStyles>
  <colors>
    <mruColors>
      <color rgb="FFFFFFFF"/>
      <color rgb="FF2626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had.lemburg@wausausupply.com" TargetMode="External"/><Relationship Id="rId117" Type="http://schemas.openxmlformats.org/officeDocument/2006/relationships/hyperlink" Target="mailto:carson.jenkins@wausausupply.com" TargetMode="External"/><Relationship Id="rId21" Type="http://schemas.openxmlformats.org/officeDocument/2006/relationships/hyperlink" Target="mailto:ryan.froemke@wausausupply.com" TargetMode="External"/><Relationship Id="rId42" Type="http://schemas.openxmlformats.org/officeDocument/2006/relationships/hyperlink" Target="mailto:joe.robinson@wausausupply.com" TargetMode="External"/><Relationship Id="rId47" Type="http://schemas.openxmlformats.org/officeDocument/2006/relationships/hyperlink" Target="mailto:shalom.wicks@wausausupply.com" TargetMode="External"/><Relationship Id="rId63" Type="http://schemas.openxmlformats.org/officeDocument/2006/relationships/hyperlink" Target="mailto:brian.stanislavski@dksiding.com" TargetMode="External"/><Relationship Id="rId68" Type="http://schemas.openxmlformats.org/officeDocument/2006/relationships/hyperlink" Target="mailto:betty.jester@wausausupply.com" TargetMode="External"/><Relationship Id="rId84" Type="http://schemas.openxmlformats.org/officeDocument/2006/relationships/hyperlink" Target="mailto:Breton.Nylen@wausausupply.com" TargetMode="External"/><Relationship Id="rId89" Type="http://schemas.openxmlformats.org/officeDocument/2006/relationships/hyperlink" Target="mailto:Jeremy.Sellars@wausausupply.com" TargetMode="External"/><Relationship Id="rId112" Type="http://schemas.openxmlformats.org/officeDocument/2006/relationships/hyperlink" Target="mailto:greg.wilcox@wausausupply.com" TargetMode="External"/><Relationship Id="rId16" Type="http://schemas.openxmlformats.org/officeDocument/2006/relationships/hyperlink" Target="mailto:josh.moller@wausausupply.com" TargetMode="External"/><Relationship Id="rId107" Type="http://schemas.openxmlformats.org/officeDocument/2006/relationships/hyperlink" Target="mailto:brian.kneiper@wausausupply.com" TargetMode="External"/><Relationship Id="rId11" Type="http://schemas.openxmlformats.org/officeDocument/2006/relationships/hyperlink" Target="mailto:brandon.oneil@wausausupply.com" TargetMode="External"/><Relationship Id="rId32" Type="http://schemas.openxmlformats.org/officeDocument/2006/relationships/hyperlink" Target="mailto:mitch.goerg@wausausupply.com" TargetMode="External"/><Relationship Id="rId37" Type="http://schemas.openxmlformats.org/officeDocument/2006/relationships/hyperlink" Target="mailto:Bradley.Moeller@wausausupply.com" TargetMode="External"/><Relationship Id="rId53" Type="http://schemas.openxmlformats.org/officeDocument/2006/relationships/hyperlink" Target="mailto:Anthony.Frediani@wausausupply.com" TargetMode="External"/><Relationship Id="rId58" Type="http://schemas.openxmlformats.org/officeDocument/2006/relationships/hyperlink" Target="mailto:paul.schuh@wausausupply.com" TargetMode="External"/><Relationship Id="rId74" Type="http://schemas.openxmlformats.org/officeDocument/2006/relationships/hyperlink" Target="mailto:megan.eno@wausausupply.com" TargetMode="External"/><Relationship Id="rId79" Type="http://schemas.openxmlformats.org/officeDocument/2006/relationships/hyperlink" Target="mailto:Marvin.Dockstader@wausausupply.com" TargetMode="External"/><Relationship Id="rId102" Type="http://schemas.openxmlformats.org/officeDocument/2006/relationships/hyperlink" Target="mailto:christopher.hudson@wausausupply.com" TargetMode="External"/><Relationship Id="rId5" Type="http://schemas.openxmlformats.org/officeDocument/2006/relationships/hyperlink" Target="mailto:justin.evans@wausausupply.com" TargetMode="External"/><Relationship Id="rId90" Type="http://schemas.openxmlformats.org/officeDocument/2006/relationships/hyperlink" Target="mailto:eric.bond@wausausupply.com" TargetMode="External"/><Relationship Id="rId95" Type="http://schemas.openxmlformats.org/officeDocument/2006/relationships/hyperlink" Target="mailto:kyle.wray@waudena.com" TargetMode="External"/><Relationship Id="rId22" Type="http://schemas.openxmlformats.org/officeDocument/2006/relationships/hyperlink" Target="mailto:Paul.Connelly@wausausupply.com" TargetMode="External"/><Relationship Id="rId27" Type="http://schemas.openxmlformats.org/officeDocument/2006/relationships/hyperlink" Target="mailto:Keith.Seubert@wausausupply.com" TargetMode="External"/><Relationship Id="rId43" Type="http://schemas.openxmlformats.org/officeDocument/2006/relationships/hyperlink" Target="mailto:tommy.carrigan@wausausupply.com" TargetMode="External"/><Relationship Id="rId48" Type="http://schemas.openxmlformats.org/officeDocument/2006/relationships/hyperlink" Target="mailto:rod.fisher@wausausupply.com" TargetMode="External"/><Relationship Id="rId64" Type="http://schemas.openxmlformats.org/officeDocument/2006/relationships/hyperlink" Target="mailto:Michael.Stratton@dksiding.com" TargetMode="External"/><Relationship Id="rId69" Type="http://schemas.openxmlformats.org/officeDocument/2006/relationships/hyperlink" Target="mailto:Tim.weismiller@wausausupply.com" TargetMode="External"/><Relationship Id="rId113" Type="http://schemas.openxmlformats.org/officeDocument/2006/relationships/hyperlink" Target="mailto:allan.mcgill@wausausupply.com" TargetMode="External"/><Relationship Id="rId118" Type="http://schemas.openxmlformats.org/officeDocument/2006/relationships/hyperlink" Target="mailto:elijah.geisler@dksiding.com" TargetMode="External"/><Relationship Id="rId80" Type="http://schemas.openxmlformats.org/officeDocument/2006/relationships/hyperlink" Target="mailto:Shana.Cooper@wausausupply.com" TargetMode="External"/><Relationship Id="rId85" Type="http://schemas.openxmlformats.org/officeDocument/2006/relationships/hyperlink" Target="mailto:stephanie.taylor@wausausupply.com" TargetMode="External"/><Relationship Id="rId12" Type="http://schemas.openxmlformats.org/officeDocument/2006/relationships/hyperlink" Target="mailto:todd.memmott@wausausupply.com" TargetMode="External"/><Relationship Id="rId17" Type="http://schemas.openxmlformats.org/officeDocument/2006/relationships/hyperlink" Target="mailto:andrew.stuart@wausausupply.com" TargetMode="External"/><Relationship Id="rId33" Type="http://schemas.openxmlformats.org/officeDocument/2006/relationships/hyperlink" Target="mailto:thomas.faber@waudena.com" TargetMode="External"/><Relationship Id="rId38" Type="http://schemas.openxmlformats.org/officeDocument/2006/relationships/hyperlink" Target="mailto:jim.allman@wausausupply.com" TargetMode="External"/><Relationship Id="rId59" Type="http://schemas.openxmlformats.org/officeDocument/2006/relationships/hyperlink" Target="mailto:Ryan.Edwards@wausausupply.com" TargetMode="External"/><Relationship Id="rId103" Type="http://schemas.openxmlformats.org/officeDocument/2006/relationships/hyperlink" Target="mailto:lori.bryant@wausausupply.com" TargetMode="External"/><Relationship Id="rId108" Type="http://schemas.openxmlformats.org/officeDocument/2006/relationships/hyperlink" Target="mailto:chris.buus@wausausupply.com" TargetMode="External"/><Relationship Id="rId54" Type="http://schemas.openxmlformats.org/officeDocument/2006/relationships/hyperlink" Target="mailto:andrew.corey@wausausupply.com" TargetMode="External"/><Relationship Id="rId70" Type="http://schemas.openxmlformats.org/officeDocument/2006/relationships/hyperlink" Target="mailto:Calvin.Pehle@wausausupply.com" TargetMode="External"/><Relationship Id="rId75" Type="http://schemas.openxmlformats.org/officeDocument/2006/relationships/hyperlink" Target="mailto:Keith.Seubert@wausausupply.com" TargetMode="External"/><Relationship Id="rId91" Type="http://schemas.openxmlformats.org/officeDocument/2006/relationships/hyperlink" Target="mailto:dusty.burgess@wausausupply.com" TargetMode="External"/><Relationship Id="rId96" Type="http://schemas.openxmlformats.org/officeDocument/2006/relationships/hyperlink" Target="mailto:christopher.logan@waudena.com" TargetMode="External"/><Relationship Id="rId1" Type="http://schemas.openxmlformats.org/officeDocument/2006/relationships/hyperlink" Target="mailto:jason.kell@wausausupply.com" TargetMode="External"/><Relationship Id="rId6" Type="http://schemas.openxmlformats.org/officeDocument/2006/relationships/hyperlink" Target="mailto:dave.carbone@wausausupply.com" TargetMode="External"/><Relationship Id="rId23" Type="http://schemas.openxmlformats.org/officeDocument/2006/relationships/hyperlink" Target="mailto:Lane.Draper@wausausupply.com" TargetMode="External"/><Relationship Id="rId28" Type="http://schemas.openxmlformats.org/officeDocument/2006/relationships/hyperlink" Target="mailto:Nick.Beauchamp@wausausupply.com" TargetMode="External"/><Relationship Id="rId49" Type="http://schemas.openxmlformats.org/officeDocument/2006/relationships/hyperlink" Target="mailto:Ryan.McDermid@wausausupply.com" TargetMode="External"/><Relationship Id="rId114" Type="http://schemas.openxmlformats.org/officeDocument/2006/relationships/hyperlink" Target="mailto:nick.cunningham@wausausupply.com" TargetMode="External"/><Relationship Id="rId119" Type="http://schemas.openxmlformats.org/officeDocument/2006/relationships/hyperlink" Target="mailto:lori.plesser@wausausupply.com" TargetMode="External"/><Relationship Id="rId10" Type="http://schemas.openxmlformats.org/officeDocument/2006/relationships/hyperlink" Target="mailto:Gary.Moore@wausausupply.com" TargetMode="External"/><Relationship Id="rId31" Type="http://schemas.openxmlformats.org/officeDocument/2006/relationships/hyperlink" Target="mailto:devin.brady@waudena.com" TargetMode="External"/><Relationship Id="rId44" Type="http://schemas.openxmlformats.org/officeDocument/2006/relationships/hyperlink" Target="mailto:katarzyna.wesolowski@wausausupply.com" TargetMode="External"/><Relationship Id="rId52" Type="http://schemas.openxmlformats.org/officeDocument/2006/relationships/hyperlink" Target="mailto:gary.penhale@wausausupply.com" TargetMode="External"/><Relationship Id="rId60" Type="http://schemas.openxmlformats.org/officeDocument/2006/relationships/hyperlink" Target="mailto:jacob.murray@wausausupply.com" TargetMode="External"/><Relationship Id="rId65" Type="http://schemas.openxmlformats.org/officeDocument/2006/relationships/hyperlink" Target="mailto:ryan.schroeder@wausausupply.com" TargetMode="External"/><Relationship Id="rId73" Type="http://schemas.openxmlformats.org/officeDocument/2006/relationships/hyperlink" Target="mailto:nathan.prehm@dksiding.com" TargetMode="External"/><Relationship Id="rId78" Type="http://schemas.openxmlformats.org/officeDocument/2006/relationships/hyperlink" Target="mailto:andrew.chambers@wausausupply.com" TargetMode="External"/><Relationship Id="rId81" Type="http://schemas.openxmlformats.org/officeDocument/2006/relationships/hyperlink" Target="mailto:jacob.cabbage@wausausupply.com" TargetMode="External"/><Relationship Id="rId86" Type="http://schemas.openxmlformats.org/officeDocument/2006/relationships/hyperlink" Target="mailto:sammy.saunders@wausausupply.com" TargetMode="External"/><Relationship Id="rId94" Type="http://schemas.openxmlformats.org/officeDocument/2006/relationships/hyperlink" Target="mailto:Collin.Wuebben@wausausupply.com" TargetMode="External"/><Relationship Id="rId99" Type="http://schemas.openxmlformats.org/officeDocument/2006/relationships/hyperlink" Target="mailto:Nicole.Schwedler@wausausupply.com" TargetMode="External"/><Relationship Id="rId101" Type="http://schemas.openxmlformats.org/officeDocument/2006/relationships/hyperlink" Target="mailto:william.bittle@wausausupply.com" TargetMode="External"/><Relationship Id="rId4" Type="http://schemas.openxmlformats.org/officeDocument/2006/relationships/hyperlink" Target="mailto:jason.kenney@wausausupply.com" TargetMode="External"/><Relationship Id="rId9" Type="http://schemas.openxmlformats.org/officeDocument/2006/relationships/hyperlink" Target="mailto:john.babcock@wausausupply.com" TargetMode="External"/><Relationship Id="rId13" Type="http://schemas.openxmlformats.org/officeDocument/2006/relationships/hyperlink" Target="mailto:kerry.jones@wausausupply.com" TargetMode="External"/><Relationship Id="rId18" Type="http://schemas.openxmlformats.org/officeDocument/2006/relationships/hyperlink" Target="mailto:brian.palmateer@wausausupply.com" TargetMode="External"/><Relationship Id="rId39" Type="http://schemas.openxmlformats.org/officeDocument/2006/relationships/hyperlink" Target="mailto:brian.luptak@wausausupply.com" TargetMode="External"/><Relationship Id="rId109" Type="http://schemas.openxmlformats.org/officeDocument/2006/relationships/hyperlink" Target="mailto:allison.siler@wausausupply.com" TargetMode="External"/><Relationship Id="rId34" Type="http://schemas.openxmlformats.org/officeDocument/2006/relationships/hyperlink" Target="mailto:bill.hamlin@waudena.com" TargetMode="External"/><Relationship Id="rId50" Type="http://schemas.openxmlformats.org/officeDocument/2006/relationships/hyperlink" Target="mailto:chris.hermansen@wausausupply.com" TargetMode="External"/><Relationship Id="rId55" Type="http://schemas.openxmlformats.org/officeDocument/2006/relationships/hyperlink" Target="mailto:greg.hillsheim@wausausupply.com" TargetMode="External"/><Relationship Id="rId76" Type="http://schemas.openxmlformats.org/officeDocument/2006/relationships/hyperlink" Target="mailto:paul.schuh@wausausupply.com" TargetMode="External"/><Relationship Id="rId97" Type="http://schemas.openxmlformats.org/officeDocument/2006/relationships/hyperlink" Target="mailto:donald.boomsma@waudena.com" TargetMode="External"/><Relationship Id="rId104" Type="http://schemas.openxmlformats.org/officeDocument/2006/relationships/hyperlink" Target="mailto:craig.anglemyer@dksiding.com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mailto:allison.siler@wausausupply.com" TargetMode="External"/><Relationship Id="rId71" Type="http://schemas.openxmlformats.org/officeDocument/2006/relationships/hyperlink" Target="mailto:Matthew.Sobocinski@dksiding.com" TargetMode="External"/><Relationship Id="rId92" Type="http://schemas.openxmlformats.org/officeDocument/2006/relationships/hyperlink" Target="mailto:jennifer.hollstein@wausausupply.com" TargetMode="External"/><Relationship Id="rId2" Type="http://schemas.openxmlformats.org/officeDocument/2006/relationships/hyperlink" Target="mailto:patrick.welch@wausausupply.com" TargetMode="External"/><Relationship Id="rId29" Type="http://schemas.openxmlformats.org/officeDocument/2006/relationships/hyperlink" Target="mailto:Jeffrey.Kahler@wausausupply.com" TargetMode="External"/><Relationship Id="rId24" Type="http://schemas.openxmlformats.org/officeDocument/2006/relationships/hyperlink" Target="mailto:Chad.Kempfer@dksiding.com" TargetMode="External"/><Relationship Id="rId40" Type="http://schemas.openxmlformats.org/officeDocument/2006/relationships/hyperlink" Target="mailto:pete.tompers@wausausupply.com" TargetMode="External"/><Relationship Id="rId45" Type="http://schemas.openxmlformats.org/officeDocument/2006/relationships/hyperlink" Target="mailto:michael.ulf@wausausupply.com" TargetMode="External"/><Relationship Id="rId66" Type="http://schemas.openxmlformats.org/officeDocument/2006/relationships/hyperlink" Target="mailto:Andrew.Kinderman@wausausupply.com" TargetMode="External"/><Relationship Id="rId87" Type="http://schemas.openxmlformats.org/officeDocument/2006/relationships/hyperlink" Target="mailto:chad.lemburg@wausausupply.com" TargetMode="External"/><Relationship Id="rId110" Type="http://schemas.openxmlformats.org/officeDocument/2006/relationships/hyperlink" Target="mailto:paul.schuh@wausausupply.com" TargetMode="External"/><Relationship Id="rId115" Type="http://schemas.openxmlformats.org/officeDocument/2006/relationships/hyperlink" Target="mailto:matt.barnes@wausausupply.com" TargetMode="External"/><Relationship Id="rId61" Type="http://schemas.openxmlformats.org/officeDocument/2006/relationships/hyperlink" Target="mailto:daniel.taylor@wausausupply.com" TargetMode="External"/><Relationship Id="rId82" Type="http://schemas.openxmlformats.org/officeDocument/2006/relationships/hyperlink" Target="mailto:kelly.hardrick@wausausupply.com" TargetMode="External"/><Relationship Id="rId19" Type="http://schemas.openxmlformats.org/officeDocument/2006/relationships/hyperlink" Target="mailto:micah.browning@wausausupply.com" TargetMode="External"/><Relationship Id="rId14" Type="http://schemas.openxmlformats.org/officeDocument/2006/relationships/hyperlink" Target="mailto:bert.baron@wausausupply.com" TargetMode="External"/><Relationship Id="rId30" Type="http://schemas.openxmlformats.org/officeDocument/2006/relationships/hyperlink" Target="mailto:Brian.Gates@wausausupply.com" TargetMode="External"/><Relationship Id="rId35" Type="http://schemas.openxmlformats.org/officeDocument/2006/relationships/hyperlink" Target="mailto:adam.hueckstaedt@wausausupply.com" TargetMode="External"/><Relationship Id="rId56" Type="http://schemas.openxmlformats.org/officeDocument/2006/relationships/hyperlink" Target="mailto:samuel.noel@wausausupply.com" TargetMode="External"/><Relationship Id="rId77" Type="http://schemas.openxmlformats.org/officeDocument/2006/relationships/hyperlink" Target="mailto:Max.Hammerstrom@wausausupply.com" TargetMode="External"/><Relationship Id="rId100" Type="http://schemas.openxmlformats.org/officeDocument/2006/relationships/hyperlink" Target="mailto:aaron.foreman@wausausupply.com" TargetMode="External"/><Relationship Id="rId105" Type="http://schemas.openxmlformats.org/officeDocument/2006/relationships/hyperlink" Target="mailto:robert.sizemore@wausausupply.com" TargetMode="External"/><Relationship Id="rId8" Type="http://schemas.openxmlformats.org/officeDocument/2006/relationships/hyperlink" Target="mailto:john.hotter@wausausupply.com" TargetMode="External"/><Relationship Id="rId51" Type="http://schemas.openxmlformats.org/officeDocument/2006/relationships/hyperlink" Target="mailto:chris.berger@wausausupply.com" TargetMode="External"/><Relationship Id="rId72" Type="http://schemas.openxmlformats.org/officeDocument/2006/relationships/hyperlink" Target="mailto:stephen.frueh@wausausupply.com" TargetMode="External"/><Relationship Id="rId93" Type="http://schemas.openxmlformats.org/officeDocument/2006/relationships/hyperlink" Target="mailto:omar.nijmeh@wausausupply.com" TargetMode="External"/><Relationship Id="rId98" Type="http://schemas.openxmlformats.org/officeDocument/2006/relationships/hyperlink" Target="mailto:cody.miller@waudena.com" TargetMode="External"/><Relationship Id="rId3" Type="http://schemas.openxmlformats.org/officeDocument/2006/relationships/hyperlink" Target="mailto:tamara.lewey@wausausupply.com" TargetMode="External"/><Relationship Id="rId25" Type="http://schemas.openxmlformats.org/officeDocument/2006/relationships/hyperlink" Target="mailto:Terry.Brown@wausausupply.com" TargetMode="External"/><Relationship Id="rId46" Type="http://schemas.openxmlformats.org/officeDocument/2006/relationships/hyperlink" Target="mailto:thomas.featherly@wausausupply.com" TargetMode="External"/><Relationship Id="rId67" Type="http://schemas.openxmlformats.org/officeDocument/2006/relationships/hyperlink" Target="mailto:chad.jenkins@wausausupply.com" TargetMode="External"/><Relationship Id="rId116" Type="http://schemas.openxmlformats.org/officeDocument/2006/relationships/hyperlink" Target="mailto:Ryan.Gerulski@wausausupply.com" TargetMode="External"/><Relationship Id="rId20" Type="http://schemas.openxmlformats.org/officeDocument/2006/relationships/hyperlink" Target="mailto:dalton.lemburg@wausausupply.com" TargetMode="External"/><Relationship Id="rId41" Type="http://schemas.openxmlformats.org/officeDocument/2006/relationships/hyperlink" Target="mailto:taylor.nehls@waudena.com" TargetMode="External"/><Relationship Id="rId62" Type="http://schemas.openxmlformats.org/officeDocument/2006/relationships/hyperlink" Target="mailto:graig.sells@wausausupply.com" TargetMode="External"/><Relationship Id="rId83" Type="http://schemas.openxmlformats.org/officeDocument/2006/relationships/hyperlink" Target="mailto:kevin.muller@dksiding.com" TargetMode="External"/><Relationship Id="rId88" Type="http://schemas.openxmlformats.org/officeDocument/2006/relationships/hyperlink" Target="mailto:david.zelch@wausausupply.com" TargetMode="External"/><Relationship Id="rId111" Type="http://schemas.openxmlformats.org/officeDocument/2006/relationships/hyperlink" Target="mailto:matt.bretches@wausausupply.com" TargetMode="External"/><Relationship Id="rId15" Type="http://schemas.openxmlformats.org/officeDocument/2006/relationships/hyperlink" Target="mailto:tristan.drollinger@wausausupply.com" TargetMode="External"/><Relationship Id="rId36" Type="http://schemas.openxmlformats.org/officeDocument/2006/relationships/hyperlink" Target="mailto:joseph.ventura@wausausupply.com" TargetMode="External"/><Relationship Id="rId57" Type="http://schemas.openxmlformats.org/officeDocument/2006/relationships/hyperlink" Target="mailto:jonathan.strini@wausausupply.com" TargetMode="External"/><Relationship Id="rId106" Type="http://schemas.openxmlformats.org/officeDocument/2006/relationships/hyperlink" Target="mailto:jordan.plehal@wausausuppl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chris.angell@wausausupply.com" TargetMode="External"/><Relationship Id="rId21" Type="http://schemas.openxmlformats.org/officeDocument/2006/relationships/hyperlink" Target="mailto:matt.bretches@wausausupply.com" TargetMode="External"/><Relationship Id="rId42" Type="http://schemas.openxmlformats.org/officeDocument/2006/relationships/hyperlink" Target="mailto:chad.lemburg@wausausupply.com" TargetMode="External"/><Relationship Id="rId47" Type="http://schemas.openxmlformats.org/officeDocument/2006/relationships/hyperlink" Target="mailto:terry.silbernagel@wausausupply.com" TargetMode="External"/><Relationship Id="rId63" Type="http://schemas.openxmlformats.org/officeDocument/2006/relationships/hyperlink" Target="mailto:chuck.davis@wausausupply.com" TargetMode="External"/><Relationship Id="rId68" Type="http://schemas.openxmlformats.org/officeDocument/2006/relationships/hyperlink" Target="mailto:mark.brothen@wausausupply.com" TargetMode="External"/><Relationship Id="rId7" Type="http://schemas.openxmlformats.org/officeDocument/2006/relationships/hyperlink" Target="mailto:andy.strey@wausausupply.com" TargetMode="External"/><Relationship Id="rId2" Type="http://schemas.openxmlformats.org/officeDocument/2006/relationships/hyperlink" Target="mailto:craig.oertel@wausausupply.com" TargetMode="External"/><Relationship Id="rId16" Type="http://schemas.openxmlformats.org/officeDocument/2006/relationships/hyperlink" Target="mailto:david.lewey@wausausupply.com" TargetMode="External"/><Relationship Id="rId29" Type="http://schemas.openxmlformats.org/officeDocument/2006/relationships/hyperlink" Target="mailto:jim.gibbs@wausausupply.com" TargetMode="External"/><Relationship Id="rId11" Type="http://schemas.openxmlformats.org/officeDocument/2006/relationships/hyperlink" Target="mailto:dusty.dvorak@taylordoor.com" TargetMode="External"/><Relationship Id="rId24" Type="http://schemas.openxmlformats.org/officeDocument/2006/relationships/hyperlink" Target="mailto:ann.lake@wausausupply.com" TargetMode="External"/><Relationship Id="rId32" Type="http://schemas.openxmlformats.org/officeDocument/2006/relationships/hyperlink" Target="mailto:keith.scott@wausausupply.com" TargetMode="External"/><Relationship Id="rId37" Type="http://schemas.openxmlformats.org/officeDocument/2006/relationships/hyperlink" Target="mailto:chad.jenkins@wausausupply.com" TargetMode="External"/><Relationship Id="rId40" Type="http://schemas.openxmlformats.org/officeDocument/2006/relationships/hyperlink" Target="mailto:jim.seeger@taylordoor.com" TargetMode="External"/><Relationship Id="rId45" Type="http://schemas.openxmlformats.org/officeDocument/2006/relationships/hyperlink" Target="mailto:tim.weismiller@wausausupply.com" TargetMode="External"/><Relationship Id="rId53" Type="http://schemas.openxmlformats.org/officeDocument/2006/relationships/hyperlink" Target="mailto:gary.penhale@wausausupply.com" TargetMode="External"/><Relationship Id="rId58" Type="http://schemas.openxmlformats.org/officeDocument/2006/relationships/hyperlink" Target="mailto:stacey.cunningham@wausausupply.com" TargetMode="External"/><Relationship Id="rId66" Type="http://schemas.openxmlformats.org/officeDocument/2006/relationships/hyperlink" Target="mailto:mike.hutchinson@wausausupply.com" TargetMode="External"/><Relationship Id="rId5" Type="http://schemas.openxmlformats.org/officeDocument/2006/relationships/hyperlink" Target="mailto:chris.buus@wausausupply.com" TargetMode="External"/><Relationship Id="rId61" Type="http://schemas.openxmlformats.org/officeDocument/2006/relationships/hyperlink" Target="mailto:joren.thompson@wausausupply.com" TargetMode="External"/><Relationship Id="rId19" Type="http://schemas.openxmlformats.org/officeDocument/2006/relationships/hyperlink" Target="mailto:joe.rea@wausausupply.com" TargetMode="External"/><Relationship Id="rId14" Type="http://schemas.openxmlformats.org/officeDocument/2006/relationships/hyperlink" Target="mailto:tamara.dubbels@wausausupply.com" TargetMode="External"/><Relationship Id="rId22" Type="http://schemas.openxmlformats.org/officeDocument/2006/relationships/hyperlink" Target="mailto:ryan.schroeder@wausausupply.com" TargetMode="External"/><Relationship Id="rId27" Type="http://schemas.openxmlformats.org/officeDocument/2006/relationships/hyperlink" Target="mailto:todd.seguin@wausausupply.com" TargetMode="External"/><Relationship Id="rId30" Type="http://schemas.openxmlformats.org/officeDocument/2006/relationships/hyperlink" Target="mailto:alan.dougherty@wausausupply.com" TargetMode="External"/><Relationship Id="rId35" Type="http://schemas.openxmlformats.org/officeDocument/2006/relationships/hyperlink" Target="mailto:ross.larson@wausausupply.com" TargetMode="External"/><Relationship Id="rId43" Type="http://schemas.openxmlformats.org/officeDocument/2006/relationships/hyperlink" Target="mailto:brandon.oneil@wausausupply.com" TargetMode="External"/><Relationship Id="rId48" Type="http://schemas.openxmlformats.org/officeDocument/2006/relationships/hyperlink" Target="mailto:thomas.weida@wausausupply.com" TargetMode="External"/><Relationship Id="rId56" Type="http://schemas.openxmlformats.org/officeDocument/2006/relationships/hyperlink" Target="mailto:craig.oertel@wausausupply.com" TargetMode="External"/><Relationship Id="rId64" Type="http://schemas.openxmlformats.org/officeDocument/2006/relationships/hyperlink" Target="mailto:dustin.smith@wausausupply.com" TargetMode="External"/><Relationship Id="rId69" Type="http://schemas.openxmlformats.org/officeDocument/2006/relationships/printerSettings" Target="../printerSettings/printerSettings5.bin"/><Relationship Id="rId8" Type="http://schemas.openxmlformats.org/officeDocument/2006/relationships/hyperlink" Target="mailto:tina.johnson@wausausupply.com" TargetMode="External"/><Relationship Id="rId51" Type="http://schemas.openxmlformats.org/officeDocument/2006/relationships/hyperlink" Target="mailto:Roger.Thompson@wausausupply.com" TargetMode="External"/><Relationship Id="rId3" Type="http://schemas.openxmlformats.org/officeDocument/2006/relationships/hyperlink" Target="mailto:allison.siler@wausausupply.com" TargetMode="External"/><Relationship Id="rId12" Type="http://schemas.openxmlformats.org/officeDocument/2006/relationships/hyperlink" Target="mailto:mike.seebruck@wausausupply.com" TargetMode="External"/><Relationship Id="rId17" Type="http://schemas.openxmlformats.org/officeDocument/2006/relationships/hyperlink" Target="mailto:larry.czachor@wasausupply.com" TargetMode="External"/><Relationship Id="rId25" Type="http://schemas.openxmlformats.org/officeDocument/2006/relationships/hyperlink" Target="mailto:greg.wilcox@wausausupply.com" TargetMode="External"/><Relationship Id="rId33" Type="http://schemas.openxmlformats.org/officeDocument/2006/relationships/hyperlink" Target="mailto:luke.mcleod@wausausupply.com" TargetMode="External"/><Relationship Id="rId38" Type="http://schemas.openxmlformats.org/officeDocument/2006/relationships/hyperlink" Target="mailto:joe.woolery@wausausupply.com" TargetMode="External"/><Relationship Id="rId46" Type="http://schemas.openxmlformats.org/officeDocument/2006/relationships/hyperlink" Target="mailto:mark.kosse@wausausupply.com" TargetMode="External"/><Relationship Id="rId59" Type="http://schemas.openxmlformats.org/officeDocument/2006/relationships/hyperlink" Target="mailto:gary.zimdars@wausausupply.com" TargetMode="External"/><Relationship Id="rId67" Type="http://schemas.openxmlformats.org/officeDocument/2006/relationships/hyperlink" Target="mailto:brian.luptak@wausausupply.com" TargetMode="External"/><Relationship Id="rId20" Type="http://schemas.openxmlformats.org/officeDocument/2006/relationships/hyperlink" Target="mailto:micah.browning@wausausupply.com" TargetMode="External"/><Relationship Id="rId41" Type="http://schemas.openxmlformats.org/officeDocument/2006/relationships/hyperlink" Target="mailto:patrick.welch@wausausupply.com" TargetMode="External"/><Relationship Id="rId54" Type="http://schemas.openxmlformats.org/officeDocument/2006/relationships/hyperlink" Target="mailto:matt.dorholt@wausausupply.com" TargetMode="External"/><Relationship Id="rId62" Type="http://schemas.openxmlformats.org/officeDocument/2006/relationships/hyperlink" Target="mailto:patrick.meade@wausausupply.com" TargetMode="External"/><Relationship Id="rId1" Type="http://schemas.openxmlformats.org/officeDocument/2006/relationships/hyperlink" Target="mailto:jamie.schoenemann@wausausupply.com" TargetMode="External"/><Relationship Id="rId6" Type="http://schemas.openxmlformats.org/officeDocument/2006/relationships/hyperlink" Target="mailto:roger.wasson@wausausupply.com" TargetMode="External"/><Relationship Id="rId15" Type="http://schemas.openxmlformats.org/officeDocument/2006/relationships/hyperlink" Target="mailto:adam.hueckstaedt@wausausupply.com" TargetMode="External"/><Relationship Id="rId23" Type="http://schemas.openxmlformats.org/officeDocument/2006/relationships/hyperlink" Target="mailto:jamie.bossman@wausausupply.com" TargetMode="External"/><Relationship Id="rId28" Type="http://schemas.openxmlformats.org/officeDocument/2006/relationships/hyperlink" Target="mailto:dan.buttner@wausausupply.com" TargetMode="External"/><Relationship Id="rId36" Type="http://schemas.openxmlformats.org/officeDocument/2006/relationships/hyperlink" Target="mailto:brandon.hofstetter@wausausupply.com" TargetMode="External"/><Relationship Id="rId49" Type="http://schemas.openxmlformats.org/officeDocument/2006/relationships/hyperlink" Target="mailto:dennis.johnson@wausausupply.com" TargetMode="External"/><Relationship Id="rId57" Type="http://schemas.openxmlformats.org/officeDocument/2006/relationships/hyperlink" Target="mailto:chris.tidmore@wausausupply.com" TargetMode="External"/><Relationship Id="rId10" Type="http://schemas.openxmlformats.org/officeDocument/2006/relationships/hyperlink" Target="mailto:ron.tjaden@wausausupply.com" TargetMode="External"/><Relationship Id="rId31" Type="http://schemas.openxmlformats.org/officeDocument/2006/relationships/hyperlink" Target="mailto:mike.kunard@wausausupply.com" TargetMode="External"/><Relationship Id="rId44" Type="http://schemas.openxmlformats.org/officeDocument/2006/relationships/hyperlink" Target="mailto:jeff.odden@wausausupply.com" TargetMode="External"/><Relationship Id="rId52" Type="http://schemas.openxmlformats.org/officeDocument/2006/relationships/hyperlink" Target="mailto:Jeramie.Kerl@wausausupply.com" TargetMode="External"/><Relationship Id="rId60" Type="http://schemas.openxmlformats.org/officeDocument/2006/relationships/hyperlink" Target="mailto:taylor.whitsett@wausausupply.com" TargetMode="External"/><Relationship Id="rId65" Type="http://schemas.openxmlformats.org/officeDocument/2006/relationships/hyperlink" Target="mailto:ron.gardner@wausausupply.com" TargetMode="External"/><Relationship Id="rId4" Type="http://schemas.openxmlformats.org/officeDocument/2006/relationships/hyperlink" Target="mailto:neil.czarnecki@wausausupply.com" TargetMode="External"/><Relationship Id="rId9" Type="http://schemas.openxmlformats.org/officeDocument/2006/relationships/hyperlink" Target="mailto:jason.kenney@wausausupply.com" TargetMode="External"/><Relationship Id="rId13" Type="http://schemas.openxmlformats.org/officeDocument/2006/relationships/hyperlink" Target="mailto:justin.haenel@wausausupply.com" TargetMode="External"/><Relationship Id="rId18" Type="http://schemas.openxmlformats.org/officeDocument/2006/relationships/hyperlink" Target="mailto:kent.card@wausausupply.com" TargetMode="External"/><Relationship Id="rId39" Type="http://schemas.openxmlformats.org/officeDocument/2006/relationships/hyperlink" Target="mailto:mike.wiggins@wausausupply.com" TargetMode="External"/><Relationship Id="rId34" Type="http://schemas.openxmlformats.org/officeDocument/2006/relationships/hyperlink" Target="mailto:jim.powers@wausausupply.com" TargetMode="External"/><Relationship Id="rId50" Type="http://schemas.openxmlformats.org/officeDocument/2006/relationships/hyperlink" Target="mailto:jason.kell@wausausupply.com" TargetMode="External"/><Relationship Id="rId55" Type="http://schemas.openxmlformats.org/officeDocument/2006/relationships/hyperlink" Target="mailto:mike.seebruck@wausausupply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90ront@wausausupply.com" TargetMode="External"/><Relationship Id="rId18" Type="http://schemas.openxmlformats.org/officeDocument/2006/relationships/hyperlink" Target="mailto:50adam@wausausupply.com" TargetMode="External"/><Relationship Id="rId26" Type="http://schemas.openxmlformats.org/officeDocument/2006/relationships/hyperlink" Target="mailto:steve.johnson@wausausupply.com" TargetMode="External"/><Relationship Id="rId39" Type="http://schemas.openxmlformats.org/officeDocument/2006/relationships/hyperlink" Target="mailto:todd.seguin@wausausupply.com" TargetMode="External"/><Relationship Id="rId21" Type="http://schemas.openxmlformats.org/officeDocument/2006/relationships/hyperlink" Target="mailto:kent.card@wausausupply.com" TargetMode="External"/><Relationship Id="rId34" Type="http://schemas.openxmlformats.org/officeDocument/2006/relationships/hyperlink" Target="mailto:zach.westfall@wausausupply.com" TargetMode="External"/><Relationship Id="rId42" Type="http://schemas.openxmlformats.org/officeDocument/2006/relationships/hyperlink" Target="mailto:jim.gibbs@wausausupply.com" TargetMode="External"/><Relationship Id="rId47" Type="http://schemas.openxmlformats.org/officeDocument/2006/relationships/hyperlink" Target="mailto:kyle@lumberyardsupply.com" TargetMode="External"/><Relationship Id="rId50" Type="http://schemas.openxmlformats.org/officeDocument/2006/relationships/hyperlink" Target="mailto:mike.kunard@wausausupply.com" TargetMode="External"/><Relationship Id="rId55" Type="http://schemas.openxmlformats.org/officeDocument/2006/relationships/hyperlink" Target="mailto:jim.powers@wausausupply.com" TargetMode="External"/><Relationship Id="rId7" Type="http://schemas.openxmlformats.org/officeDocument/2006/relationships/hyperlink" Target="mailto:chris.buus@wausausupply.com" TargetMode="External"/><Relationship Id="rId2" Type="http://schemas.openxmlformats.org/officeDocument/2006/relationships/hyperlink" Target="mailto:3garyp@wausausupply.com" TargetMode="External"/><Relationship Id="rId16" Type="http://schemas.openxmlformats.org/officeDocument/2006/relationships/hyperlink" Target="mailto:3kurt@wausausupply.com" TargetMode="External"/><Relationship Id="rId29" Type="http://schemas.openxmlformats.org/officeDocument/2006/relationships/hyperlink" Target="mailto:90mikewi@wausausupply.com" TargetMode="External"/><Relationship Id="rId11" Type="http://schemas.openxmlformats.org/officeDocument/2006/relationships/hyperlink" Target="mailto:8tina@wausausupply.com" TargetMode="External"/><Relationship Id="rId24" Type="http://schemas.openxmlformats.org/officeDocument/2006/relationships/hyperlink" Target="mailto:matt.bretches@wausausupply.com" TargetMode="External"/><Relationship Id="rId32" Type="http://schemas.openxmlformats.org/officeDocument/2006/relationships/hyperlink" Target="mailto:jim.haggerty@wausausupply.com" TargetMode="External"/><Relationship Id="rId37" Type="http://schemas.openxmlformats.org/officeDocument/2006/relationships/hyperlink" Target="mailto:randy.swanson@wausausupply.com" TargetMode="External"/><Relationship Id="rId40" Type="http://schemas.openxmlformats.org/officeDocument/2006/relationships/hyperlink" Target="mailto:verne.larson@wausausupply.com" TargetMode="External"/><Relationship Id="rId45" Type="http://schemas.openxmlformats.org/officeDocument/2006/relationships/hyperlink" Target="mailto:daves@lumberyardsupply.com" TargetMode="External"/><Relationship Id="rId53" Type="http://schemas.openxmlformats.org/officeDocument/2006/relationships/hyperlink" Target="mailto:lukem@lumberyardsupply.com" TargetMode="External"/><Relationship Id="rId5" Type="http://schemas.openxmlformats.org/officeDocument/2006/relationships/hyperlink" Target="mailto:5neil@wausausupply.com" TargetMode="External"/><Relationship Id="rId10" Type="http://schemas.openxmlformats.org/officeDocument/2006/relationships/hyperlink" Target="mailto:5randy@wausausupply.com" TargetMode="External"/><Relationship Id="rId19" Type="http://schemas.openxmlformats.org/officeDocument/2006/relationships/hyperlink" Target="mailto:david.lewey@wausausupply.com" TargetMode="External"/><Relationship Id="rId31" Type="http://schemas.openxmlformats.org/officeDocument/2006/relationships/hyperlink" Target="mailto:jamie.bossman@wausausupply.com" TargetMode="External"/><Relationship Id="rId44" Type="http://schemas.openxmlformats.org/officeDocument/2006/relationships/hyperlink" Target="mailto:bryce@lumberyardsupply.com" TargetMode="External"/><Relationship Id="rId52" Type="http://schemas.openxmlformats.org/officeDocument/2006/relationships/hyperlink" Target="mailto:brandon.oneil@wausausupply.com" TargetMode="External"/><Relationship Id="rId4" Type="http://schemas.openxmlformats.org/officeDocument/2006/relationships/hyperlink" Target="mailto:50allison@wausausupply.com" TargetMode="External"/><Relationship Id="rId9" Type="http://schemas.openxmlformats.org/officeDocument/2006/relationships/hyperlink" Target="mailto:5andy@wausausupply.com" TargetMode="External"/><Relationship Id="rId14" Type="http://schemas.openxmlformats.org/officeDocument/2006/relationships/hyperlink" Target="mailto:dusty.dvorak@taylordoor.com" TargetMode="External"/><Relationship Id="rId22" Type="http://schemas.openxmlformats.org/officeDocument/2006/relationships/hyperlink" Target="mailto:joe.rea@wausausupply.com" TargetMode="External"/><Relationship Id="rId27" Type="http://schemas.openxmlformats.org/officeDocument/2006/relationships/hyperlink" Target="mailto:steve.johnson@wausausupply.com" TargetMode="External"/><Relationship Id="rId30" Type="http://schemas.openxmlformats.org/officeDocument/2006/relationships/hyperlink" Target="mailto:nathan.salo@wausausupply.com" TargetMode="External"/><Relationship Id="rId35" Type="http://schemas.openxmlformats.org/officeDocument/2006/relationships/hyperlink" Target="mailto:ann.lake@wausausupply.com" TargetMode="External"/><Relationship Id="rId43" Type="http://schemas.openxmlformats.org/officeDocument/2006/relationships/hyperlink" Target="mailto:alan.dougherty@wausausupply.com" TargetMode="External"/><Relationship Id="rId48" Type="http://schemas.openxmlformats.org/officeDocument/2006/relationships/hyperlink" Target="mailto:danac@lumberyardsupply.com" TargetMode="External"/><Relationship Id="rId56" Type="http://schemas.openxmlformats.org/officeDocument/2006/relationships/printerSettings" Target="../printerSettings/printerSettings7.bin"/><Relationship Id="rId8" Type="http://schemas.openxmlformats.org/officeDocument/2006/relationships/hyperlink" Target="mailto:roger.wasson@wausausupply.com" TargetMode="External"/><Relationship Id="rId51" Type="http://schemas.openxmlformats.org/officeDocument/2006/relationships/hyperlink" Target="mailto:chad.munson@wausausupply.com" TargetMode="External"/><Relationship Id="rId3" Type="http://schemas.openxmlformats.org/officeDocument/2006/relationships/hyperlink" Target="mailto:90craig@wausausupply.com" TargetMode="External"/><Relationship Id="rId12" Type="http://schemas.openxmlformats.org/officeDocument/2006/relationships/hyperlink" Target="mailto:jason.kenney@wausausupply.com" TargetMode="External"/><Relationship Id="rId17" Type="http://schemas.openxmlformats.org/officeDocument/2006/relationships/hyperlink" Target="mailto:tamara.dubbels@wausausupply.com" TargetMode="External"/><Relationship Id="rId25" Type="http://schemas.openxmlformats.org/officeDocument/2006/relationships/hyperlink" Target="mailto:mark.weishaar@wausausupply.com" TargetMode="External"/><Relationship Id="rId33" Type="http://schemas.openxmlformats.org/officeDocument/2006/relationships/hyperlink" Target="mailto:mark.hoffman@wausausupply.com" TargetMode="External"/><Relationship Id="rId38" Type="http://schemas.openxmlformats.org/officeDocument/2006/relationships/hyperlink" Target="mailto:chris.angell@wausausupply.com" TargetMode="External"/><Relationship Id="rId46" Type="http://schemas.openxmlformats.org/officeDocument/2006/relationships/hyperlink" Target="mailto:timm@lumberyardsupply.com" TargetMode="External"/><Relationship Id="rId20" Type="http://schemas.openxmlformats.org/officeDocument/2006/relationships/hyperlink" Target="mailto:larry.czachor@wasausupply.com" TargetMode="External"/><Relationship Id="rId41" Type="http://schemas.openxmlformats.org/officeDocument/2006/relationships/hyperlink" Target="mailto:dan.buttner@wausausupply.com" TargetMode="External"/><Relationship Id="rId54" Type="http://schemas.openxmlformats.org/officeDocument/2006/relationships/hyperlink" Target="mailto:robf@lumberyardsupply.com" TargetMode="External"/><Relationship Id="rId1" Type="http://schemas.openxmlformats.org/officeDocument/2006/relationships/hyperlink" Target="mailto:50jamie@wausausupply.com" TargetMode="External"/><Relationship Id="rId6" Type="http://schemas.openxmlformats.org/officeDocument/2006/relationships/hyperlink" Target="mailto:9johna@wausausupply.com" TargetMode="External"/><Relationship Id="rId15" Type="http://schemas.openxmlformats.org/officeDocument/2006/relationships/hyperlink" Target="mailto:5mikes@wausausupply.com" TargetMode="External"/><Relationship Id="rId23" Type="http://schemas.openxmlformats.org/officeDocument/2006/relationships/hyperlink" Target="mailto:micah.browning@wausausupply.com" TargetMode="External"/><Relationship Id="rId28" Type="http://schemas.openxmlformats.org/officeDocument/2006/relationships/hyperlink" Target="mailto:ryan.schroeder@wausausupply.com" TargetMode="External"/><Relationship Id="rId36" Type="http://schemas.openxmlformats.org/officeDocument/2006/relationships/hyperlink" Target="mailto:greg.wilcox@wausausupply.com" TargetMode="External"/><Relationship Id="rId49" Type="http://schemas.openxmlformats.org/officeDocument/2006/relationships/hyperlink" Target="mailto:rob.ray@wausausuppl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9"/>
  <sheetViews>
    <sheetView tabSelected="1" zoomScale="90" zoomScaleNormal="90" zoomScaleSheetLayoutView="90" workbookViewId="0">
      <pane ySplit="1" topLeftCell="A2" activePane="bottomLeft" state="frozen"/>
      <selection pane="bottomLeft" activeCell="M31" sqref="M31"/>
    </sheetView>
  </sheetViews>
  <sheetFormatPr defaultColWidth="9.140625" defaultRowHeight="15"/>
  <cols>
    <col min="1" max="14" width="17.85546875" style="282" customWidth="1"/>
    <col min="15" max="15" width="47.85546875" style="282" customWidth="1"/>
    <col min="16" max="16" width="22" style="282" customWidth="1"/>
    <col min="17" max="17" width="23.140625" style="282" customWidth="1"/>
    <col min="18" max="18" width="18.140625" style="282" customWidth="1"/>
    <col min="19" max="19" width="5.7109375" style="282" customWidth="1"/>
    <col min="20" max="20" width="11.140625" style="282" customWidth="1"/>
    <col min="21" max="21" width="8.28515625" style="282" customWidth="1"/>
    <col min="22" max="22" width="24.7109375" style="282" customWidth="1"/>
    <col min="23" max="23" width="45.140625" style="295" customWidth="1"/>
    <col min="24" max="16384" width="9.140625" style="282"/>
  </cols>
  <sheetData>
    <row r="1" spans="1:23">
      <c r="A1" s="319" t="s">
        <v>1472</v>
      </c>
      <c r="B1" s="319" t="s">
        <v>1473</v>
      </c>
      <c r="C1" s="319" t="s">
        <v>3</v>
      </c>
      <c r="D1" s="319" t="s">
        <v>1478</v>
      </c>
      <c r="E1" s="319" t="s">
        <v>1479</v>
      </c>
      <c r="F1" s="319" t="s">
        <v>1480</v>
      </c>
      <c r="G1" s="319" t="s">
        <v>1481</v>
      </c>
      <c r="H1" s="319" t="s">
        <v>1483</v>
      </c>
      <c r="I1" s="319" t="s">
        <v>1484</v>
      </c>
      <c r="J1" s="319" t="s">
        <v>1485</v>
      </c>
      <c r="K1" s="319" t="s">
        <v>1486</v>
      </c>
      <c r="L1" s="319" t="s">
        <v>1487</v>
      </c>
      <c r="M1" s="319" t="s">
        <v>1488</v>
      </c>
      <c r="N1" s="319" t="s">
        <v>1489</v>
      </c>
      <c r="O1" s="284" t="s">
        <v>4</v>
      </c>
      <c r="P1" s="283" t="s">
        <v>5</v>
      </c>
      <c r="Q1" s="319" t="s">
        <v>1474</v>
      </c>
      <c r="R1" s="319" t="s">
        <v>7</v>
      </c>
      <c r="S1" s="319" t="s">
        <v>8</v>
      </c>
      <c r="T1" s="319" t="s">
        <v>1475</v>
      </c>
      <c r="U1" s="283" t="s">
        <v>9</v>
      </c>
      <c r="V1" s="319" t="s">
        <v>1476</v>
      </c>
      <c r="W1" s="319" t="s">
        <v>1477</v>
      </c>
    </row>
    <row r="2" spans="1:23">
      <c r="A2" s="307" t="s">
        <v>12</v>
      </c>
      <c r="B2" s="311" t="s">
        <v>13</v>
      </c>
      <c r="C2" s="317" t="s">
        <v>1468</v>
      </c>
      <c r="D2" s="317" t="str">
        <f>IF(A2="Regional Business Partner",B2,"NA")</f>
        <v>NA</v>
      </c>
      <c r="E2" s="317" t="str">
        <f>IF(A2="National Accounts Manager",B2,"NA")</f>
        <v>NA</v>
      </c>
      <c r="F2" s="317" t="str">
        <f>IF(A2="Waudena Territory Manager",B2,"NA")</f>
        <v>NA</v>
      </c>
      <c r="G2" s="317" t="str">
        <f>IF(A2="Director of Sales",B2,"NA")</f>
        <v>NA</v>
      </c>
      <c r="H2" s="317"/>
      <c r="I2" s="317" t="s">
        <v>1469</v>
      </c>
      <c r="J2" s="317" t="str">
        <f>IF(A2="Regional Manager",B2,"NA")</f>
        <v>NA</v>
      </c>
      <c r="K2" s="317" t="str">
        <f>IF(A2="Territory Manager",B2,"NA")</f>
        <v>NA</v>
      </c>
      <c r="L2" s="317" t="str">
        <f>IF(A2="Siding Specialist",B2,"NA")</f>
        <v>NA</v>
      </c>
      <c r="M2" s="317"/>
      <c r="N2" s="317" t="s">
        <v>1490</v>
      </c>
      <c r="O2" s="280" t="s">
        <v>1468</v>
      </c>
      <c r="P2" s="280"/>
      <c r="Q2" s="280"/>
      <c r="R2" s="280"/>
      <c r="S2" s="280"/>
      <c r="T2" s="280"/>
      <c r="U2" s="280"/>
      <c r="V2" s="280"/>
      <c r="W2" s="281"/>
    </row>
    <row r="3" spans="1:23">
      <c r="A3" s="308" t="s">
        <v>1482</v>
      </c>
      <c r="B3" s="312" t="s">
        <v>14</v>
      </c>
      <c r="C3" s="269" t="s">
        <v>15</v>
      </c>
      <c r="D3" s="317" t="str">
        <f t="shared" ref="D3:D66" si="0">IF(A3="Regional Business Partner",B3,"NA")</f>
        <v>NA</v>
      </c>
      <c r="E3" s="317" t="str">
        <f t="shared" ref="E3:E66" si="1">IF(A3="National Accounts Manager",B3,"NA")</f>
        <v>NA</v>
      </c>
      <c r="F3" s="317" t="str">
        <f t="shared" ref="F3:F66" si="2">IF(A3="Waudena Territory Manager",B3,"NA")</f>
        <v>NA</v>
      </c>
      <c r="G3" s="317" t="str">
        <f t="shared" ref="G3:G66" si="3">IF(A3="Director of Sales",B3,"NA")</f>
        <v>Ryan Schroeder</v>
      </c>
      <c r="H3" s="317"/>
      <c r="I3" s="317" t="s">
        <v>1469</v>
      </c>
      <c r="J3" s="317" t="str">
        <f t="shared" ref="J3:J66" si="4">IF(A3="Regional Manager",B3,"NA")</f>
        <v>NA</v>
      </c>
      <c r="K3" s="317" t="str">
        <f t="shared" ref="K3:K66" si="5">IF(A3="Territory Manager",B3,"NA")</f>
        <v>NA</v>
      </c>
      <c r="L3" s="317" t="str">
        <f t="shared" ref="L3:L66" si="6">IF(A3="Siding Specialist",B3,"NA")</f>
        <v>NA</v>
      </c>
      <c r="M3" s="317"/>
      <c r="N3" s="317" t="s">
        <v>1490</v>
      </c>
      <c r="O3" s="285" t="s">
        <v>1468</v>
      </c>
      <c r="P3" s="263"/>
      <c r="Q3" s="264" t="s">
        <v>16</v>
      </c>
      <c r="R3" s="265" t="s">
        <v>17</v>
      </c>
      <c r="S3" s="263" t="s">
        <v>18</v>
      </c>
      <c r="T3" s="263">
        <v>54455</v>
      </c>
      <c r="U3" s="266">
        <v>13325</v>
      </c>
      <c r="V3" s="266" t="s">
        <v>19</v>
      </c>
      <c r="W3" s="262" t="s">
        <v>20</v>
      </c>
    </row>
    <row r="4" spans="1:23">
      <c r="A4" s="308" t="s">
        <v>21</v>
      </c>
      <c r="B4" s="312" t="s">
        <v>22</v>
      </c>
      <c r="C4" s="269" t="s">
        <v>15</v>
      </c>
      <c r="D4" s="317" t="str">
        <f t="shared" si="0"/>
        <v>NA</v>
      </c>
      <c r="E4" s="317" t="str">
        <f t="shared" si="1"/>
        <v>Steve Thielman</v>
      </c>
      <c r="F4" s="317" t="str">
        <f t="shared" si="2"/>
        <v>NA</v>
      </c>
      <c r="G4" s="317" t="str">
        <f t="shared" si="3"/>
        <v>NA</v>
      </c>
      <c r="H4" s="317"/>
      <c r="I4" s="317" t="s">
        <v>1469</v>
      </c>
      <c r="J4" s="317" t="str">
        <f t="shared" si="4"/>
        <v>NA</v>
      </c>
      <c r="K4" s="317" t="str">
        <f t="shared" si="5"/>
        <v>NA</v>
      </c>
      <c r="L4" s="317" t="str">
        <f t="shared" si="6"/>
        <v>NA</v>
      </c>
      <c r="M4" s="317"/>
      <c r="N4" s="317" t="s">
        <v>1490</v>
      </c>
      <c r="O4" s="285" t="s">
        <v>23</v>
      </c>
      <c r="P4" s="263"/>
      <c r="Q4" s="264" t="s">
        <v>24</v>
      </c>
      <c r="R4" s="265" t="s">
        <v>25</v>
      </c>
      <c r="S4" s="263" t="s">
        <v>18</v>
      </c>
      <c r="T4" s="263">
        <v>54937</v>
      </c>
      <c r="U4" s="266">
        <v>14333</v>
      </c>
      <c r="V4" s="266" t="s">
        <v>26</v>
      </c>
      <c r="W4" s="262" t="s">
        <v>27</v>
      </c>
    </row>
    <row r="5" spans="1:23">
      <c r="A5" s="308" t="s">
        <v>21</v>
      </c>
      <c r="B5" s="312" t="s">
        <v>28</v>
      </c>
      <c r="C5" s="318" t="s">
        <v>29</v>
      </c>
      <c r="D5" s="317" t="str">
        <f t="shared" si="0"/>
        <v>NA</v>
      </c>
      <c r="E5" s="317" t="str">
        <f t="shared" si="1"/>
        <v>Devin Brady</v>
      </c>
      <c r="F5" s="317" t="str">
        <f t="shared" si="2"/>
        <v>NA</v>
      </c>
      <c r="G5" s="317" t="str">
        <f t="shared" si="3"/>
        <v>NA</v>
      </c>
      <c r="H5" s="317"/>
      <c r="I5" s="317" t="s">
        <v>1469</v>
      </c>
      <c r="J5" s="317" t="str">
        <f t="shared" si="4"/>
        <v>NA</v>
      </c>
      <c r="K5" s="317" t="str">
        <f t="shared" si="5"/>
        <v>NA</v>
      </c>
      <c r="L5" s="317" t="str">
        <f t="shared" si="6"/>
        <v>NA</v>
      </c>
      <c r="M5" s="317"/>
      <c r="N5" s="317" t="s">
        <v>1490</v>
      </c>
      <c r="O5" s="267" t="s">
        <v>23</v>
      </c>
      <c r="P5" s="263"/>
      <c r="Q5" s="264" t="s">
        <v>30</v>
      </c>
      <c r="R5" s="265" t="s">
        <v>31</v>
      </c>
      <c r="S5" s="263" t="s">
        <v>32</v>
      </c>
      <c r="T5" s="263">
        <v>66061</v>
      </c>
      <c r="U5" s="266"/>
      <c r="V5" s="266" t="s">
        <v>33</v>
      </c>
      <c r="W5" s="268" t="s">
        <v>34</v>
      </c>
    </row>
    <row r="6" spans="1:23">
      <c r="A6" s="308" t="s">
        <v>35</v>
      </c>
      <c r="B6" s="313" t="s">
        <v>36</v>
      </c>
      <c r="C6" s="318" t="s">
        <v>15</v>
      </c>
      <c r="D6" s="317" t="str">
        <f t="shared" si="0"/>
        <v>NA</v>
      </c>
      <c r="E6" s="317" t="str">
        <f t="shared" si="1"/>
        <v>NA</v>
      </c>
      <c r="F6" s="317" t="str">
        <f t="shared" si="2"/>
        <v>OPEN POSITION</v>
      </c>
      <c r="G6" s="317" t="str">
        <f t="shared" si="3"/>
        <v>NA</v>
      </c>
      <c r="H6" s="317"/>
      <c r="I6" s="317" t="s">
        <v>1469</v>
      </c>
      <c r="J6" s="317" t="str">
        <f t="shared" si="4"/>
        <v>NA</v>
      </c>
      <c r="K6" s="317" t="str">
        <f t="shared" si="5"/>
        <v>NA</v>
      </c>
      <c r="L6" s="317" t="str">
        <f t="shared" si="6"/>
        <v>NA</v>
      </c>
      <c r="M6" s="317"/>
      <c r="N6" s="317" t="s">
        <v>1490</v>
      </c>
      <c r="O6" s="267" t="s">
        <v>37</v>
      </c>
      <c r="P6" s="263"/>
      <c r="Q6" s="264"/>
      <c r="R6" s="265"/>
      <c r="S6" s="263"/>
      <c r="T6" s="263"/>
      <c r="U6" s="266"/>
      <c r="V6" s="266"/>
      <c r="W6" s="268"/>
    </row>
    <row r="7" spans="1:23">
      <c r="A7" s="308" t="s">
        <v>35</v>
      </c>
      <c r="B7" s="312" t="s">
        <v>22</v>
      </c>
      <c r="C7" s="269" t="s">
        <v>15</v>
      </c>
      <c r="D7" s="317" t="str">
        <f t="shared" si="0"/>
        <v>NA</v>
      </c>
      <c r="E7" s="317" t="str">
        <f t="shared" si="1"/>
        <v>NA</v>
      </c>
      <c r="F7" s="317" t="str">
        <f t="shared" si="2"/>
        <v>Steve Thielman</v>
      </c>
      <c r="G7" s="317" t="str">
        <f t="shared" si="3"/>
        <v>NA</v>
      </c>
      <c r="H7" s="317"/>
      <c r="I7" s="317" t="s">
        <v>1469</v>
      </c>
      <c r="J7" s="317" t="str">
        <f t="shared" si="4"/>
        <v>NA</v>
      </c>
      <c r="K7" s="317" t="str">
        <f t="shared" si="5"/>
        <v>NA</v>
      </c>
      <c r="L7" s="317" t="str">
        <f t="shared" si="6"/>
        <v>NA</v>
      </c>
      <c r="M7" s="317"/>
      <c r="N7" s="317" t="s">
        <v>1490</v>
      </c>
      <c r="O7" s="285" t="s">
        <v>38</v>
      </c>
      <c r="P7" s="263"/>
      <c r="Q7" s="264" t="s">
        <v>24</v>
      </c>
      <c r="R7" s="265" t="s">
        <v>25</v>
      </c>
      <c r="S7" s="263" t="s">
        <v>18</v>
      </c>
      <c r="T7" s="263">
        <v>54937</v>
      </c>
      <c r="U7" s="266">
        <v>14333</v>
      </c>
      <c r="V7" s="266" t="s">
        <v>26</v>
      </c>
      <c r="W7" s="262" t="s">
        <v>27</v>
      </c>
    </row>
    <row r="8" spans="1:23">
      <c r="A8" s="308" t="s">
        <v>35</v>
      </c>
      <c r="B8" s="312" t="s">
        <v>39</v>
      </c>
      <c r="C8" s="269" t="s">
        <v>15</v>
      </c>
      <c r="D8" s="317" t="str">
        <f t="shared" si="0"/>
        <v>NA</v>
      </c>
      <c r="E8" s="317" t="str">
        <f t="shared" si="1"/>
        <v>NA</v>
      </c>
      <c r="F8" s="317" t="str">
        <f t="shared" si="2"/>
        <v>William Hamlin</v>
      </c>
      <c r="G8" s="317" t="str">
        <f t="shared" si="3"/>
        <v>NA</v>
      </c>
      <c r="H8" s="317"/>
      <c r="I8" s="317" t="s">
        <v>1469</v>
      </c>
      <c r="J8" s="317" t="str">
        <f t="shared" si="4"/>
        <v>NA</v>
      </c>
      <c r="K8" s="317" t="str">
        <f t="shared" si="5"/>
        <v>NA</v>
      </c>
      <c r="L8" s="317" t="str">
        <f t="shared" si="6"/>
        <v>NA</v>
      </c>
      <c r="M8" s="317"/>
      <c r="N8" s="317" t="s">
        <v>1490</v>
      </c>
      <c r="O8" s="285" t="s">
        <v>40</v>
      </c>
      <c r="P8" s="263"/>
      <c r="Q8" s="264" t="s">
        <v>41</v>
      </c>
      <c r="R8" s="265" t="s">
        <v>42</v>
      </c>
      <c r="S8" s="263" t="s">
        <v>43</v>
      </c>
      <c r="T8" s="263">
        <v>49546</v>
      </c>
      <c r="U8" s="266">
        <v>14338</v>
      </c>
      <c r="V8" s="266" t="s">
        <v>44</v>
      </c>
      <c r="W8" s="262" t="s">
        <v>45</v>
      </c>
    </row>
    <row r="9" spans="1:23">
      <c r="A9" s="308" t="s">
        <v>35</v>
      </c>
      <c r="B9" s="312" t="s">
        <v>46</v>
      </c>
      <c r="C9" s="269" t="s">
        <v>15</v>
      </c>
      <c r="D9" s="317" t="str">
        <f t="shared" si="0"/>
        <v>NA</v>
      </c>
      <c r="E9" s="317" t="str">
        <f t="shared" si="1"/>
        <v>NA</v>
      </c>
      <c r="F9" s="317" t="str">
        <f t="shared" si="2"/>
        <v>Tom Faber</v>
      </c>
      <c r="G9" s="317" t="str">
        <f t="shared" si="3"/>
        <v>NA</v>
      </c>
      <c r="H9" s="317"/>
      <c r="I9" s="317" t="s">
        <v>1469</v>
      </c>
      <c r="J9" s="317" t="str">
        <f t="shared" si="4"/>
        <v>NA</v>
      </c>
      <c r="K9" s="317" t="str">
        <f t="shared" si="5"/>
        <v>NA</v>
      </c>
      <c r="L9" s="317" t="str">
        <f t="shared" si="6"/>
        <v>NA</v>
      </c>
      <c r="M9" s="317"/>
      <c r="N9" s="317" t="s">
        <v>1490</v>
      </c>
      <c r="O9" s="285" t="s">
        <v>47</v>
      </c>
      <c r="P9" s="263"/>
      <c r="Q9" s="264" t="s">
        <v>48</v>
      </c>
      <c r="R9" s="265" t="s">
        <v>49</v>
      </c>
      <c r="S9" s="263" t="s">
        <v>50</v>
      </c>
      <c r="T9" s="263">
        <v>68142</v>
      </c>
      <c r="U9" s="266">
        <v>14325</v>
      </c>
      <c r="V9" s="266" t="s">
        <v>51</v>
      </c>
      <c r="W9" s="262" t="s">
        <v>52</v>
      </c>
    </row>
    <row r="10" spans="1:23">
      <c r="A10" s="308" t="s">
        <v>35</v>
      </c>
      <c r="B10" s="312" t="s">
        <v>53</v>
      </c>
      <c r="C10" s="269" t="s">
        <v>15</v>
      </c>
      <c r="D10" s="317" t="str">
        <f t="shared" si="0"/>
        <v>NA</v>
      </c>
      <c r="E10" s="317" t="str">
        <f t="shared" si="1"/>
        <v>NA</v>
      </c>
      <c r="F10" s="317" t="str">
        <f t="shared" si="2"/>
        <v xml:space="preserve">Kyle Wray </v>
      </c>
      <c r="G10" s="317" t="str">
        <f t="shared" si="3"/>
        <v>NA</v>
      </c>
      <c r="H10" s="317"/>
      <c r="I10" s="317" t="s">
        <v>1469</v>
      </c>
      <c r="J10" s="317" t="str">
        <f t="shared" si="4"/>
        <v>NA</v>
      </c>
      <c r="K10" s="317" t="str">
        <f t="shared" si="5"/>
        <v>NA</v>
      </c>
      <c r="L10" s="317" t="str">
        <f t="shared" si="6"/>
        <v>NA</v>
      </c>
      <c r="M10" s="317"/>
      <c r="N10" s="317" t="s">
        <v>1490</v>
      </c>
      <c r="O10" s="269" t="s">
        <v>54</v>
      </c>
      <c r="P10" s="263"/>
      <c r="Q10" s="264" t="s">
        <v>55</v>
      </c>
      <c r="R10" s="265" t="s">
        <v>56</v>
      </c>
      <c r="S10" s="263" t="s">
        <v>57</v>
      </c>
      <c r="T10" s="263">
        <v>37066</v>
      </c>
      <c r="U10" s="266"/>
      <c r="V10" s="266" t="s">
        <v>58</v>
      </c>
      <c r="W10" s="270" t="s">
        <v>59</v>
      </c>
    </row>
    <row r="11" spans="1:23">
      <c r="A11" s="308" t="s">
        <v>35</v>
      </c>
      <c r="B11" s="312" t="s">
        <v>61</v>
      </c>
      <c r="C11" s="269" t="s">
        <v>15</v>
      </c>
      <c r="D11" s="317" t="str">
        <f t="shared" si="0"/>
        <v>NA</v>
      </c>
      <c r="E11" s="317" t="str">
        <f t="shared" si="1"/>
        <v>NA</v>
      </c>
      <c r="F11" s="317" t="str">
        <f t="shared" si="2"/>
        <v>Taylor Nehls</v>
      </c>
      <c r="G11" s="317" t="str">
        <f t="shared" si="3"/>
        <v>NA</v>
      </c>
      <c r="H11" s="317"/>
      <c r="I11" s="317" t="s">
        <v>1469</v>
      </c>
      <c r="J11" s="317" t="str">
        <f t="shared" si="4"/>
        <v>NA</v>
      </c>
      <c r="K11" s="317" t="str">
        <f t="shared" si="5"/>
        <v>NA</v>
      </c>
      <c r="L11" s="317" t="str">
        <f t="shared" si="6"/>
        <v>NA</v>
      </c>
      <c r="M11" s="317"/>
      <c r="N11" s="317" t="s">
        <v>1490</v>
      </c>
      <c r="O11" s="285" t="s">
        <v>62</v>
      </c>
      <c r="P11" s="263"/>
      <c r="Q11" s="264" t="s">
        <v>63</v>
      </c>
      <c r="R11" s="265" t="s">
        <v>64</v>
      </c>
      <c r="S11" s="263" t="s">
        <v>65</v>
      </c>
      <c r="T11" s="263">
        <v>45502</v>
      </c>
      <c r="U11" s="266"/>
      <c r="V11" s="266" t="s">
        <v>66</v>
      </c>
      <c r="W11" s="262" t="s">
        <v>67</v>
      </c>
    </row>
    <row r="12" spans="1:23">
      <c r="A12" s="308" t="s">
        <v>35</v>
      </c>
      <c r="B12" s="312" t="s">
        <v>69</v>
      </c>
      <c r="C12" s="269" t="s">
        <v>15</v>
      </c>
      <c r="D12" s="317" t="str">
        <f t="shared" si="0"/>
        <v>NA</v>
      </c>
      <c r="E12" s="317" t="str">
        <f t="shared" si="1"/>
        <v>NA</v>
      </c>
      <c r="F12" s="317" t="str">
        <f t="shared" si="2"/>
        <v>Don Boomsma</v>
      </c>
      <c r="G12" s="317" t="str">
        <f t="shared" si="3"/>
        <v>NA</v>
      </c>
      <c r="H12" s="317"/>
      <c r="I12" s="317" t="s">
        <v>1469</v>
      </c>
      <c r="J12" s="317" t="str">
        <f t="shared" si="4"/>
        <v>NA</v>
      </c>
      <c r="K12" s="317" t="str">
        <f t="shared" si="5"/>
        <v>NA</v>
      </c>
      <c r="L12" s="317" t="str">
        <f t="shared" si="6"/>
        <v>NA</v>
      </c>
      <c r="M12" s="317"/>
      <c r="N12" s="317" t="s">
        <v>1490</v>
      </c>
      <c r="O12" s="285" t="s">
        <v>70</v>
      </c>
      <c r="P12" s="263"/>
      <c r="Q12" s="264" t="s">
        <v>71</v>
      </c>
      <c r="R12" s="265" t="s">
        <v>72</v>
      </c>
      <c r="S12" s="263" t="s">
        <v>73</v>
      </c>
      <c r="T12" s="263">
        <v>55044</v>
      </c>
      <c r="U12" s="266"/>
      <c r="V12" s="266" t="s">
        <v>74</v>
      </c>
      <c r="W12" s="270" t="s">
        <v>75</v>
      </c>
    </row>
    <row r="13" spans="1:23">
      <c r="A13" s="308" t="s">
        <v>35</v>
      </c>
      <c r="B13" s="312" t="s">
        <v>76</v>
      </c>
      <c r="C13" s="269" t="s">
        <v>15</v>
      </c>
      <c r="D13" s="317" t="str">
        <f t="shared" si="0"/>
        <v>NA</v>
      </c>
      <c r="E13" s="317" t="str">
        <f t="shared" si="1"/>
        <v>NA</v>
      </c>
      <c r="F13" s="317" t="str">
        <f t="shared" si="2"/>
        <v>Cody Miller</v>
      </c>
      <c r="G13" s="317" t="str">
        <f t="shared" si="3"/>
        <v>NA</v>
      </c>
      <c r="H13" s="317"/>
      <c r="I13" s="317" t="s">
        <v>1469</v>
      </c>
      <c r="J13" s="317" t="str">
        <f t="shared" si="4"/>
        <v>NA</v>
      </c>
      <c r="K13" s="317" t="str">
        <f t="shared" si="5"/>
        <v>NA</v>
      </c>
      <c r="L13" s="317" t="str">
        <f t="shared" si="6"/>
        <v>NA</v>
      </c>
      <c r="M13" s="317"/>
      <c r="N13" s="317" t="s">
        <v>1490</v>
      </c>
      <c r="O13" s="285" t="s">
        <v>77</v>
      </c>
      <c r="P13" s="263"/>
      <c r="Q13" s="264" t="s">
        <v>78</v>
      </c>
      <c r="R13" s="265" t="s">
        <v>79</v>
      </c>
      <c r="S13" s="263" t="s">
        <v>80</v>
      </c>
      <c r="T13" s="263">
        <v>85212</v>
      </c>
      <c r="U13" s="266"/>
      <c r="V13" s="266" t="s">
        <v>81</v>
      </c>
      <c r="W13" s="270" t="s">
        <v>82</v>
      </c>
    </row>
    <row r="14" spans="1:23">
      <c r="A14" s="308" t="s">
        <v>35</v>
      </c>
      <c r="B14" s="313" t="s">
        <v>83</v>
      </c>
      <c r="C14" s="269" t="s">
        <v>15</v>
      </c>
      <c r="D14" s="317" t="str">
        <f t="shared" si="0"/>
        <v>NA</v>
      </c>
      <c r="E14" s="317" t="str">
        <f t="shared" si="1"/>
        <v>NA</v>
      </c>
      <c r="F14" s="317" t="str">
        <f t="shared" si="2"/>
        <v>Chris Logan</v>
      </c>
      <c r="G14" s="317" t="str">
        <f t="shared" si="3"/>
        <v>NA</v>
      </c>
      <c r="H14" s="317"/>
      <c r="I14" s="317" t="s">
        <v>1469</v>
      </c>
      <c r="J14" s="317" t="str">
        <f t="shared" si="4"/>
        <v>NA</v>
      </c>
      <c r="K14" s="317" t="str">
        <f t="shared" si="5"/>
        <v>NA</v>
      </c>
      <c r="L14" s="317" t="str">
        <f t="shared" si="6"/>
        <v>NA</v>
      </c>
      <c r="M14" s="317"/>
      <c r="N14" s="317" t="s">
        <v>1490</v>
      </c>
      <c r="O14" s="285" t="s">
        <v>84</v>
      </c>
      <c r="P14" s="263"/>
      <c r="Q14" s="264" t="s">
        <v>85</v>
      </c>
      <c r="R14" s="265" t="s">
        <v>86</v>
      </c>
      <c r="S14" s="263" t="s">
        <v>87</v>
      </c>
      <c r="T14" s="263">
        <v>28125</v>
      </c>
      <c r="V14" s="266" t="s">
        <v>88</v>
      </c>
      <c r="W14" s="270" t="s">
        <v>89</v>
      </c>
    </row>
    <row r="15" spans="1:23">
      <c r="A15" s="307" t="s">
        <v>90</v>
      </c>
      <c r="B15" s="311" t="s">
        <v>91</v>
      </c>
      <c r="C15" s="317" t="s">
        <v>1468</v>
      </c>
      <c r="D15" s="317" t="str">
        <f t="shared" si="0"/>
        <v>NA</v>
      </c>
      <c r="E15" s="317" t="str">
        <f t="shared" si="1"/>
        <v>NA</v>
      </c>
      <c r="F15" s="317" t="str">
        <f t="shared" si="2"/>
        <v>NA</v>
      </c>
      <c r="G15" s="317" t="str">
        <f t="shared" si="3"/>
        <v>NA</v>
      </c>
      <c r="H15" s="317"/>
      <c r="I15" s="317" t="s">
        <v>1469</v>
      </c>
      <c r="J15" s="317" t="str">
        <f t="shared" si="4"/>
        <v>NA</v>
      </c>
      <c r="K15" s="317" t="str">
        <f t="shared" si="5"/>
        <v>NA</v>
      </c>
      <c r="L15" s="317" t="str">
        <f t="shared" si="6"/>
        <v>NA</v>
      </c>
      <c r="M15" s="317"/>
      <c r="N15" s="317" t="s">
        <v>1491</v>
      </c>
      <c r="O15" s="280"/>
      <c r="P15" s="280"/>
      <c r="Q15" s="280" t="s">
        <v>92</v>
      </c>
      <c r="R15" s="280" t="s">
        <v>93</v>
      </c>
      <c r="S15" s="280" t="s">
        <v>94</v>
      </c>
      <c r="T15" s="280">
        <v>54115</v>
      </c>
      <c r="U15" s="280"/>
      <c r="V15" s="280"/>
      <c r="W15" s="281" t="s">
        <v>95</v>
      </c>
    </row>
    <row r="16" spans="1:23">
      <c r="A16" s="307" t="s">
        <v>96</v>
      </c>
      <c r="B16" s="311" t="s">
        <v>97</v>
      </c>
      <c r="C16" s="317" t="s">
        <v>1468</v>
      </c>
      <c r="D16" s="317" t="str">
        <f t="shared" si="0"/>
        <v>NA</v>
      </c>
      <c r="E16" s="317" t="str">
        <f t="shared" si="1"/>
        <v>NA</v>
      </c>
      <c r="F16" s="317" t="str">
        <f t="shared" si="2"/>
        <v>NA</v>
      </c>
      <c r="G16" s="317" t="str">
        <f t="shared" si="3"/>
        <v>NA</v>
      </c>
      <c r="H16" s="317"/>
      <c r="I16" s="317" t="s">
        <v>1469</v>
      </c>
      <c r="J16" s="317" t="str">
        <f t="shared" si="4"/>
        <v>NA</v>
      </c>
      <c r="K16" s="317" t="str">
        <f t="shared" si="5"/>
        <v>NA</v>
      </c>
      <c r="L16" s="317" t="str">
        <f t="shared" si="6"/>
        <v>NA</v>
      </c>
      <c r="M16" s="317"/>
      <c r="N16" s="317" t="s">
        <v>1491</v>
      </c>
      <c r="O16" s="280"/>
      <c r="P16" s="280"/>
      <c r="Q16" s="280" t="s">
        <v>98</v>
      </c>
      <c r="R16" s="280" t="s">
        <v>99</v>
      </c>
      <c r="S16" s="280" t="s">
        <v>18</v>
      </c>
      <c r="T16" s="280">
        <v>54401</v>
      </c>
      <c r="U16" s="280">
        <v>25057</v>
      </c>
      <c r="V16" s="280" t="s">
        <v>100</v>
      </c>
      <c r="W16" s="281" t="s">
        <v>101</v>
      </c>
    </row>
    <row r="17" spans="1:23">
      <c r="A17" s="307" t="s">
        <v>102</v>
      </c>
      <c r="B17" s="311" t="s">
        <v>103</v>
      </c>
      <c r="C17" s="317" t="s">
        <v>1468</v>
      </c>
      <c r="D17" s="317" t="str">
        <f t="shared" si="0"/>
        <v>NA</v>
      </c>
      <c r="E17" s="317" t="str">
        <f t="shared" si="1"/>
        <v>NA</v>
      </c>
      <c r="F17" s="317" t="str">
        <f t="shared" si="2"/>
        <v>NA</v>
      </c>
      <c r="G17" s="317" t="str">
        <f t="shared" si="3"/>
        <v>NA</v>
      </c>
      <c r="H17" s="317"/>
      <c r="I17" s="317" t="s">
        <v>1469</v>
      </c>
      <c r="J17" s="317" t="str">
        <f t="shared" si="4"/>
        <v>NA</v>
      </c>
      <c r="K17" s="317" t="str">
        <f t="shared" si="5"/>
        <v>NA</v>
      </c>
      <c r="L17" s="317" t="str">
        <f t="shared" si="6"/>
        <v>NA</v>
      </c>
      <c r="M17" s="317"/>
      <c r="N17" s="317" t="s">
        <v>1491</v>
      </c>
      <c r="O17" s="280"/>
      <c r="P17" s="280"/>
      <c r="Q17" s="280" t="s">
        <v>104</v>
      </c>
      <c r="R17" s="280" t="s">
        <v>105</v>
      </c>
      <c r="S17" s="280" t="s">
        <v>73</v>
      </c>
      <c r="T17" s="280">
        <v>55378</v>
      </c>
      <c r="U17" s="280">
        <v>25060</v>
      </c>
      <c r="V17" s="280" t="s">
        <v>106</v>
      </c>
      <c r="W17" s="281" t="s">
        <v>107</v>
      </c>
    </row>
    <row r="18" spans="1:23">
      <c r="A18" s="307" t="s">
        <v>108</v>
      </c>
      <c r="B18" s="311" t="s">
        <v>109</v>
      </c>
      <c r="C18" s="317" t="s">
        <v>1468</v>
      </c>
      <c r="D18" s="317" t="str">
        <f t="shared" si="0"/>
        <v>NA</v>
      </c>
      <c r="E18" s="317" t="str">
        <f t="shared" si="1"/>
        <v>NA</v>
      </c>
      <c r="F18" s="317" t="str">
        <f t="shared" si="2"/>
        <v>NA</v>
      </c>
      <c r="G18" s="317" t="str">
        <f t="shared" si="3"/>
        <v>NA</v>
      </c>
      <c r="H18" s="317"/>
      <c r="I18" s="317" t="s">
        <v>1469</v>
      </c>
      <c r="J18" s="317" t="str">
        <f t="shared" si="4"/>
        <v>NA</v>
      </c>
      <c r="K18" s="317" t="str">
        <f t="shared" si="5"/>
        <v>NA</v>
      </c>
      <c r="L18" s="317" t="str">
        <f t="shared" si="6"/>
        <v>NA</v>
      </c>
      <c r="M18" s="317"/>
      <c r="N18" s="317" t="s">
        <v>1491</v>
      </c>
      <c r="O18" s="280" t="s">
        <v>110</v>
      </c>
      <c r="P18" s="280"/>
      <c r="Q18" s="280"/>
      <c r="R18" s="280"/>
      <c r="S18" s="280"/>
      <c r="T18" s="280"/>
      <c r="U18" s="280"/>
      <c r="V18" s="280"/>
      <c r="W18" s="281"/>
    </row>
    <row r="19" spans="1:23">
      <c r="A19" s="307" t="s">
        <v>108</v>
      </c>
      <c r="B19" s="311" t="s">
        <v>111</v>
      </c>
      <c r="C19" s="317" t="s">
        <v>1468</v>
      </c>
      <c r="D19" s="317" t="str">
        <f t="shared" si="0"/>
        <v>NA</v>
      </c>
      <c r="E19" s="317" t="str">
        <f t="shared" si="1"/>
        <v>NA</v>
      </c>
      <c r="F19" s="317" t="str">
        <f t="shared" si="2"/>
        <v>NA</v>
      </c>
      <c r="G19" s="317" t="str">
        <f t="shared" si="3"/>
        <v>NA</v>
      </c>
      <c r="H19" s="317"/>
      <c r="I19" s="317" t="s">
        <v>1469</v>
      </c>
      <c r="J19" s="317" t="str">
        <f t="shared" si="4"/>
        <v>NA</v>
      </c>
      <c r="K19" s="317" t="str">
        <f t="shared" si="5"/>
        <v>NA</v>
      </c>
      <c r="L19" s="317" t="str">
        <f t="shared" si="6"/>
        <v>NA</v>
      </c>
      <c r="M19" s="317"/>
      <c r="N19" s="317" t="s">
        <v>1491</v>
      </c>
      <c r="O19" s="280" t="s">
        <v>112</v>
      </c>
      <c r="P19" s="280"/>
      <c r="Q19" s="280"/>
      <c r="R19" s="280"/>
      <c r="S19" s="280"/>
      <c r="T19" s="280"/>
      <c r="U19" s="280"/>
      <c r="V19" s="280"/>
      <c r="W19" s="281"/>
    </row>
    <row r="20" spans="1:23">
      <c r="A20" s="309" t="s">
        <v>113</v>
      </c>
      <c r="B20" s="313" t="s">
        <v>114</v>
      </c>
      <c r="C20" s="300" t="s">
        <v>1468</v>
      </c>
      <c r="D20" s="317" t="str">
        <f t="shared" si="0"/>
        <v>NA</v>
      </c>
      <c r="E20" s="317" t="str">
        <f t="shared" si="1"/>
        <v>NA</v>
      </c>
      <c r="F20" s="317" t="str">
        <f t="shared" si="2"/>
        <v>NA</v>
      </c>
      <c r="G20" s="317" t="str">
        <f t="shared" si="3"/>
        <v>NA</v>
      </c>
      <c r="H20" s="317"/>
      <c r="I20" s="317" t="s">
        <v>1469</v>
      </c>
      <c r="J20" s="317" t="str">
        <f t="shared" si="4"/>
        <v>NA</v>
      </c>
      <c r="K20" s="317" t="str">
        <f t="shared" si="5"/>
        <v>NA</v>
      </c>
      <c r="L20" s="317" t="str">
        <f t="shared" si="6"/>
        <v>NA</v>
      </c>
      <c r="M20" s="317"/>
      <c r="N20" s="317" t="s">
        <v>1491</v>
      </c>
      <c r="O20" s="285"/>
      <c r="P20" s="287"/>
      <c r="Q20" s="264" t="s">
        <v>115</v>
      </c>
      <c r="R20" s="288" t="s">
        <v>116</v>
      </c>
      <c r="S20" s="289" t="s">
        <v>18</v>
      </c>
      <c r="T20" s="289">
        <v>54476</v>
      </c>
      <c r="U20" s="287">
        <v>13310</v>
      </c>
      <c r="V20" s="287" t="s">
        <v>117</v>
      </c>
      <c r="W20" s="271" t="s">
        <v>118</v>
      </c>
    </row>
    <row r="21" spans="1:23">
      <c r="A21" s="307" t="s">
        <v>119</v>
      </c>
      <c r="B21" s="311" t="s">
        <v>120</v>
      </c>
      <c r="C21" s="317" t="s">
        <v>1471</v>
      </c>
      <c r="D21" s="317" t="str">
        <f t="shared" si="0"/>
        <v>NA</v>
      </c>
      <c r="E21" s="317" t="str">
        <f t="shared" si="1"/>
        <v>NA</v>
      </c>
      <c r="F21" s="317" t="str">
        <f t="shared" si="2"/>
        <v>NA</v>
      </c>
      <c r="G21" s="317" t="str">
        <f t="shared" si="3"/>
        <v>NA</v>
      </c>
      <c r="H21" s="317"/>
      <c r="I21" s="317" t="str">
        <f>$B$21</f>
        <v>Keith Scott</v>
      </c>
      <c r="J21" s="317" t="str">
        <f t="shared" si="4"/>
        <v>NA</v>
      </c>
      <c r="K21" s="317" t="str">
        <f t="shared" si="5"/>
        <v>NA</v>
      </c>
      <c r="L21" s="317" t="str">
        <f t="shared" si="6"/>
        <v>NA</v>
      </c>
      <c r="M21" s="317"/>
      <c r="N21" s="317" t="s">
        <v>1491</v>
      </c>
      <c r="O21" s="280"/>
      <c r="P21" s="280"/>
      <c r="Q21" s="280" t="s">
        <v>121</v>
      </c>
      <c r="R21" s="280" t="s">
        <v>122</v>
      </c>
      <c r="S21" s="280" t="s">
        <v>123</v>
      </c>
      <c r="T21" s="280">
        <v>83440</v>
      </c>
      <c r="U21" s="280">
        <v>25058</v>
      </c>
      <c r="V21" s="280" t="s">
        <v>124</v>
      </c>
      <c r="W21" s="280" t="s">
        <v>125</v>
      </c>
    </row>
    <row r="22" spans="1:23">
      <c r="A22" s="310" t="s">
        <v>126</v>
      </c>
      <c r="B22" s="314" t="s">
        <v>127</v>
      </c>
      <c r="C22" s="318" t="s">
        <v>128</v>
      </c>
      <c r="D22" s="317" t="str">
        <f t="shared" si="0"/>
        <v>NA</v>
      </c>
      <c r="E22" s="317" t="str">
        <f t="shared" si="1"/>
        <v>NA</v>
      </c>
      <c r="F22" s="317" t="str">
        <f t="shared" si="2"/>
        <v>NA</v>
      </c>
      <c r="G22" s="317" t="str">
        <f t="shared" si="3"/>
        <v>NA</v>
      </c>
      <c r="H22" s="317"/>
      <c r="I22" s="317" t="str">
        <f t="shared" ref="I22:I85" si="7">$B$21</f>
        <v>Keith Scott</v>
      </c>
      <c r="J22" s="317" t="str">
        <f t="shared" si="4"/>
        <v>Anthony Frediani</v>
      </c>
      <c r="K22" s="317" t="str">
        <f t="shared" si="5"/>
        <v>NA</v>
      </c>
      <c r="L22" s="317" t="str">
        <f t="shared" si="6"/>
        <v>NA</v>
      </c>
      <c r="M22" s="317"/>
      <c r="N22" s="317" t="s">
        <v>1491</v>
      </c>
      <c r="O22" s="245"/>
      <c r="P22" s="244"/>
      <c r="Q22" s="243" t="s">
        <v>129</v>
      </c>
      <c r="R22" s="244" t="s">
        <v>130</v>
      </c>
      <c r="S22" s="244" t="s">
        <v>131</v>
      </c>
      <c r="T22" s="244">
        <v>60046</v>
      </c>
      <c r="U22" s="244"/>
      <c r="V22" s="244" t="s">
        <v>132</v>
      </c>
      <c r="W22" s="268" t="s">
        <v>133</v>
      </c>
    </row>
    <row r="23" spans="1:23">
      <c r="A23" s="310" t="s">
        <v>135</v>
      </c>
      <c r="B23" s="314" t="s">
        <v>136</v>
      </c>
      <c r="C23" s="318" t="s">
        <v>140</v>
      </c>
      <c r="D23" s="317" t="str">
        <f t="shared" si="0"/>
        <v>Jordan Wagner</v>
      </c>
      <c r="E23" s="317" t="str">
        <f t="shared" si="1"/>
        <v>NA</v>
      </c>
      <c r="F23" s="317" t="str">
        <f t="shared" si="2"/>
        <v>NA</v>
      </c>
      <c r="G23" s="317" t="str">
        <f t="shared" si="3"/>
        <v>NA</v>
      </c>
      <c r="H23" s="317"/>
      <c r="I23" s="317" t="str">
        <f t="shared" si="7"/>
        <v>Keith Scott</v>
      </c>
      <c r="J23" s="317" t="str">
        <f t="shared" si="4"/>
        <v>NA</v>
      </c>
      <c r="K23" s="317" t="str">
        <f t="shared" si="5"/>
        <v>NA</v>
      </c>
      <c r="L23" s="317" t="str">
        <f t="shared" si="6"/>
        <v>NA</v>
      </c>
      <c r="M23" s="317"/>
      <c r="N23" s="317" t="s">
        <v>1491</v>
      </c>
      <c r="O23" s="245"/>
      <c r="P23" s="244"/>
      <c r="Q23" s="246"/>
      <c r="R23" s="247"/>
      <c r="S23" s="244"/>
      <c r="T23" s="244"/>
      <c r="U23" s="248"/>
      <c r="V23" s="248"/>
      <c r="W23" s="262"/>
    </row>
    <row r="24" spans="1:23">
      <c r="A24" s="309" t="s">
        <v>138</v>
      </c>
      <c r="B24" s="313" t="s">
        <v>139</v>
      </c>
      <c r="C24" s="299" t="s">
        <v>140</v>
      </c>
      <c r="D24" s="317" t="str">
        <f t="shared" si="0"/>
        <v>NA</v>
      </c>
      <c r="E24" s="317" t="str">
        <f t="shared" si="1"/>
        <v>NA</v>
      </c>
      <c r="F24" s="317" t="str">
        <f t="shared" si="2"/>
        <v>NA</v>
      </c>
      <c r="G24" s="317" t="str">
        <f t="shared" si="3"/>
        <v>NA</v>
      </c>
      <c r="H24" s="317"/>
      <c r="I24" s="317" t="str">
        <f t="shared" si="7"/>
        <v>Keith Scott</v>
      </c>
      <c r="J24" s="317" t="str">
        <f t="shared" si="4"/>
        <v>NA</v>
      </c>
      <c r="K24" s="317" t="str">
        <f t="shared" si="5"/>
        <v>NA</v>
      </c>
      <c r="L24" s="317" t="str">
        <f t="shared" si="6"/>
        <v>NA</v>
      </c>
      <c r="M24" s="317"/>
      <c r="N24" s="317" t="s">
        <v>1491</v>
      </c>
      <c r="O24" s="285" t="s">
        <v>141</v>
      </c>
      <c r="P24" s="287" t="s">
        <v>142</v>
      </c>
      <c r="Q24" s="290" t="s">
        <v>143</v>
      </c>
      <c r="R24" s="288" t="s">
        <v>144</v>
      </c>
      <c r="S24" s="289" t="s">
        <v>18</v>
      </c>
      <c r="T24" s="289">
        <v>53402</v>
      </c>
      <c r="U24" s="283">
        <v>25090</v>
      </c>
      <c r="V24" s="283" t="s">
        <v>145</v>
      </c>
      <c r="W24" s="262" t="s">
        <v>146</v>
      </c>
    </row>
    <row r="25" spans="1:23">
      <c r="A25" s="309" t="s">
        <v>147</v>
      </c>
      <c r="B25" s="313" t="s">
        <v>148</v>
      </c>
      <c r="C25" s="299" t="s">
        <v>140</v>
      </c>
      <c r="D25" s="317" t="str">
        <f t="shared" si="0"/>
        <v>NA</v>
      </c>
      <c r="E25" s="317" t="str">
        <f t="shared" si="1"/>
        <v>NA</v>
      </c>
      <c r="F25" s="317" t="str">
        <f t="shared" si="2"/>
        <v>NA</v>
      </c>
      <c r="G25" s="317" t="str">
        <f t="shared" si="3"/>
        <v>NA</v>
      </c>
      <c r="H25" s="317"/>
      <c r="I25" s="317" t="str">
        <f t="shared" si="7"/>
        <v>Keith Scott</v>
      </c>
      <c r="J25" s="317" t="str">
        <f t="shared" si="4"/>
        <v>NA</v>
      </c>
      <c r="K25" s="317" t="str">
        <f t="shared" si="5"/>
        <v>Kathi Kampen</v>
      </c>
      <c r="L25" s="317" t="str">
        <f t="shared" si="6"/>
        <v>NA</v>
      </c>
      <c r="M25" s="317"/>
      <c r="N25" s="317" t="s">
        <v>1491</v>
      </c>
      <c r="O25" s="291" t="s">
        <v>149</v>
      </c>
      <c r="P25" s="287" t="s">
        <v>150</v>
      </c>
      <c r="Q25" s="292" t="s">
        <v>151</v>
      </c>
      <c r="R25" s="293" t="s">
        <v>152</v>
      </c>
      <c r="S25" s="294" t="s">
        <v>18</v>
      </c>
      <c r="T25" s="294">
        <v>54313</v>
      </c>
      <c r="U25" s="283"/>
      <c r="V25" s="283" t="s">
        <v>153</v>
      </c>
      <c r="W25" s="262" t="s">
        <v>154</v>
      </c>
    </row>
    <row r="26" spans="1:23">
      <c r="A26" s="309" t="s">
        <v>147</v>
      </c>
      <c r="B26" s="313" t="s">
        <v>155</v>
      </c>
      <c r="C26" s="299" t="s">
        <v>140</v>
      </c>
      <c r="D26" s="317" t="str">
        <f t="shared" si="0"/>
        <v>NA</v>
      </c>
      <c r="E26" s="317" t="str">
        <f t="shared" si="1"/>
        <v>NA</v>
      </c>
      <c r="F26" s="317" t="str">
        <f t="shared" si="2"/>
        <v>NA</v>
      </c>
      <c r="G26" s="317" t="str">
        <f t="shared" si="3"/>
        <v>NA</v>
      </c>
      <c r="H26" s="317"/>
      <c r="I26" s="317" t="str">
        <f t="shared" si="7"/>
        <v>Keith Scott</v>
      </c>
      <c r="J26" s="317" t="str">
        <f t="shared" si="4"/>
        <v>NA</v>
      </c>
      <c r="K26" s="317" t="str">
        <f t="shared" si="5"/>
        <v>Rodney Fisher</v>
      </c>
      <c r="L26" s="317" t="str">
        <f t="shared" si="6"/>
        <v>NA</v>
      </c>
      <c r="M26" s="317"/>
      <c r="N26" s="317" t="s">
        <v>1491</v>
      </c>
      <c r="O26" s="291" t="s">
        <v>156</v>
      </c>
      <c r="P26" s="287" t="s">
        <v>150</v>
      </c>
      <c r="Q26" s="292" t="s">
        <v>157</v>
      </c>
      <c r="R26" s="293" t="s">
        <v>158</v>
      </c>
      <c r="S26" s="294" t="s">
        <v>18</v>
      </c>
      <c r="T26" s="294">
        <v>54487</v>
      </c>
      <c r="U26" s="283">
        <v>14382</v>
      </c>
      <c r="V26" s="283" t="s">
        <v>159</v>
      </c>
      <c r="W26" s="262" t="s">
        <v>160</v>
      </c>
    </row>
    <row r="27" spans="1:23">
      <c r="A27" s="309" t="s">
        <v>147</v>
      </c>
      <c r="B27" s="313" t="s">
        <v>161</v>
      </c>
      <c r="C27" s="299" t="s">
        <v>140</v>
      </c>
      <c r="D27" s="317" t="str">
        <f t="shared" si="0"/>
        <v>NA</v>
      </c>
      <c r="E27" s="317" t="str">
        <f t="shared" si="1"/>
        <v>NA</v>
      </c>
      <c r="F27" s="317" t="str">
        <f t="shared" si="2"/>
        <v>NA</v>
      </c>
      <c r="G27" s="317" t="str">
        <f t="shared" si="3"/>
        <v>NA</v>
      </c>
      <c r="H27" s="317"/>
      <c r="I27" s="317" t="str">
        <f t="shared" si="7"/>
        <v>Keith Scott</v>
      </c>
      <c r="J27" s="317" t="str">
        <f t="shared" si="4"/>
        <v>NA</v>
      </c>
      <c r="K27" s="317" t="str">
        <f t="shared" si="5"/>
        <v>Shalom Wicks</v>
      </c>
      <c r="L27" s="317" t="str">
        <f t="shared" si="6"/>
        <v>NA</v>
      </c>
      <c r="M27" s="317"/>
      <c r="N27" s="317" t="s">
        <v>1491</v>
      </c>
      <c r="O27" s="285" t="s">
        <v>162</v>
      </c>
      <c r="P27" s="287" t="s">
        <v>163</v>
      </c>
      <c r="Q27" s="290" t="s">
        <v>164</v>
      </c>
      <c r="R27" s="288" t="s">
        <v>165</v>
      </c>
      <c r="S27" s="289" t="s">
        <v>18</v>
      </c>
      <c r="T27" s="289">
        <v>54771</v>
      </c>
      <c r="U27" s="283">
        <v>15254</v>
      </c>
      <c r="V27" s="295" t="s">
        <v>166</v>
      </c>
      <c r="W27" s="262" t="s">
        <v>167</v>
      </c>
    </row>
    <row r="28" spans="1:23">
      <c r="A28" s="309" t="s">
        <v>147</v>
      </c>
      <c r="B28" s="313" t="s">
        <v>168</v>
      </c>
      <c r="C28" s="299" t="s">
        <v>140</v>
      </c>
      <c r="D28" s="317" t="str">
        <f t="shared" si="0"/>
        <v>NA</v>
      </c>
      <c r="E28" s="317" t="str">
        <f t="shared" si="1"/>
        <v>NA</v>
      </c>
      <c r="F28" s="317" t="str">
        <f t="shared" si="2"/>
        <v>NA</v>
      </c>
      <c r="G28" s="317" t="str">
        <f t="shared" si="3"/>
        <v>NA</v>
      </c>
      <c r="H28" s="317"/>
      <c r="I28" s="317" t="str">
        <f t="shared" si="7"/>
        <v>Keith Scott</v>
      </c>
      <c r="J28" s="317" t="str">
        <f t="shared" si="4"/>
        <v>NA</v>
      </c>
      <c r="K28" s="317" t="str">
        <f t="shared" si="5"/>
        <v>Thomas Featherly</v>
      </c>
      <c r="L28" s="317" t="str">
        <f t="shared" si="6"/>
        <v>NA</v>
      </c>
      <c r="M28" s="317"/>
      <c r="N28" s="317" t="s">
        <v>1491</v>
      </c>
      <c r="O28" s="285" t="s">
        <v>169</v>
      </c>
      <c r="P28" s="287" t="s">
        <v>163</v>
      </c>
      <c r="Q28" s="290" t="s">
        <v>170</v>
      </c>
      <c r="R28" s="288" t="s">
        <v>171</v>
      </c>
      <c r="S28" s="289" t="s">
        <v>18</v>
      </c>
      <c r="T28" s="289">
        <v>54868</v>
      </c>
      <c r="U28" s="283">
        <v>25085</v>
      </c>
      <c r="V28" s="283" t="s">
        <v>172</v>
      </c>
      <c r="W28" s="262" t="s">
        <v>173</v>
      </c>
    </row>
    <row r="29" spans="1:23">
      <c r="A29" s="309" t="s">
        <v>147</v>
      </c>
      <c r="B29" s="313" t="s">
        <v>174</v>
      </c>
      <c r="C29" s="299" t="s">
        <v>140</v>
      </c>
      <c r="D29" s="317" t="str">
        <f t="shared" si="0"/>
        <v>NA</v>
      </c>
      <c r="E29" s="317" t="str">
        <f t="shared" si="1"/>
        <v>NA</v>
      </c>
      <c r="F29" s="317" t="str">
        <f t="shared" si="2"/>
        <v>NA</v>
      </c>
      <c r="G29" s="317" t="str">
        <f t="shared" si="3"/>
        <v>NA</v>
      </c>
      <c r="H29" s="317"/>
      <c r="I29" s="317" t="str">
        <f t="shared" si="7"/>
        <v>Keith Scott</v>
      </c>
      <c r="J29" s="317" t="str">
        <f t="shared" si="4"/>
        <v>NA</v>
      </c>
      <c r="K29" s="317" t="str">
        <f t="shared" si="5"/>
        <v>Andrew Kindernan</v>
      </c>
      <c r="L29" s="317" t="str">
        <f t="shared" si="6"/>
        <v>NA</v>
      </c>
      <c r="M29" s="317"/>
      <c r="N29" s="317" t="s">
        <v>1491</v>
      </c>
      <c r="O29" s="285" t="s">
        <v>175</v>
      </c>
      <c r="P29" s="287" t="s">
        <v>142</v>
      </c>
      <c r="Q29" s="290" t="s">
        <v>176</v>
      </c>
      <c r="R29" s="288" t="s">
        <v>177</v>
      </c>
      <c r="S29" s="289" t="s">
        <v>18</v>
      </c>
      <c r="T29" s="289">
        <v>53045</v>
      </c>
      <c r="U29" s="283"/>
      <c r="V29" s="283" t="s">
        <v>178</v>
      </c>
      <c r="W29" s="268" t="s">
        <v>179</v>
      </c>
    </row>
    <row r="30" spans="1:23">
      <c r="A30" s="309" t="s">
        <v>147</v>
      </c>
      <c r="B30" s="313" t="s">
        <v>180</v>
      </c>
      <c r="C30" s="299" t="s">
        <v>140</v>
      </c>
      <c r="D30" s="317" t="str">
        <f t="shared" si="0"/>
        <v>NA</v>
      </c>
      <c r="E30" s="317" t="str">
        <f t="shared" si="1"/>
        <v>NA</v>
      </c>
      <c r="F30" s="317" t="str">
        <f t="shared" si="2"/>
        <v>NA</v>
      </c>
      <c r="G30" s="317" t="str">
        <f t="shared" si="3"/>
        <v>NA</v>
      </c>
      <c r="H30" s="317"/>
      <c r="I30" s="317" t="str">
        <f t="shared" si="7"/>
        <v>Keith Scott</v>
      </c>
      <c r="J30" s="317" t="str">
        <f t="shared" si="4"/>
        <v>NA</v>
      </c>
      <c r="K30" s="317" t="str">
        <f t="shared" si="5"/>
        <v>Breton Nylen</v>
      </c>
      <c r="L30" s="317" t="str">
        <f t="shared" si="6"/>
        <v>NA</v>
      </c>
      <c r="M30" s="317"/>
      <c r="N30" s="317" t="s">
        <v>1491</v>
      </c>
      <c r="O30" s="285" t="s">
        <v>181</v>
      </c>
      <c r="P30" s="287" t="s">
        <v>142</v>
      </c>
      <c r="Q30" s="292" t="s">
        <v>182</v>
      </c>
      <c r="R30" s="290" t="s">
        <v>183</v>
      </c>
      <c r="S30" s="287" t="s">
        <v>94</v>
      </c>
      <c r="T30" s="287">
        <v>53597</v>
      </c>
      <c r="U30" s="283"/>
      <c r="V30" s="283" t="s">
        <v>184</v>
      </c>
      <c r="W30" s="268" t="s">
        <v>185</v>
      </c>
    </row>
    <row r="31" spans="1:23" ht="15" customHeight="1">
      <c r="A31" s="309" t="s">
        <v>147</v>
      </c>
      <c r="B31" s="313" t="s">
        <v>187</v>
      </c>
      <c r="C31" s="299" t="s">
        <v>140</v>
      </c>
      <c r="D31" s="317" t="str">
        <f t="shared" si="0"/>
        <v>NA</v>
      </c>
      <c r="E31" s="317" t="str">
        <f t="shared" si="1"/>
        <v>NA</v>
      </c>
      <c r="F31" s="317" t="str">
        <f t="shared" si="2"/>
        <v>NA</v>
      </c>
      <c r="G31" s="317" t="str">
        <f t="shared" si="3"/>
        <v>NA</v>
      </c>
      <c r="H31" s="317"/>
      <c r="I31" s="317" t="str">
        <f t="shared" si="7"/>
        <v>Keith Scott</v>
      </c>
      <c r="J31" s="317" t="str">
        <f t="shared" si="4"/>
        <v>NA</v>
      </c>
      <c r="K31" s="317" t="str">
        <f t="shared" si="5"/>
        <v>Gary Penhale</v>
      </c>
      <c r="L31" s="317" t="str">
        <f t="shared" si="6"/>
        <v>NA</v>
      </c>
      <c r="M31" s="317"/>
      <c r="N31" s="317" t="s">
        <v>1491</v>
      </c>
      <c r="O31" s="285" t="s">
        <v>188</v>
      </c>
      <c r="P31" s="287"/>
      <c r="Q31" s="290" t="s">
        <v>189</v>
      </c>
      <c r="R31" s="296" t="s">
        <v>190</v>
      </c>
      <c r="S31" s="297" t="s">
        <v>43</v>
      </c>
      <c r="T31" s="297">
        <v>49866</v>
      </c>
      <c r="U31" s="283">
        <v>13374</v>
      </c>
      <c r="V31" s="283" t="s">
        <v>191</v>
      </c>
      <c r="W31" s="262" t="s">
        <v>192</v>
      </c>
    </row>
    <row r="32" spans="1:23" ht="15" customHeight="1">
      <c r="A32" s="309" t="s">
        <v>193</v>
      </c>
      <c r="B32" s="313" t="s">
        <v>36</v>
      </c>
      <c r="C32" s="299" t="s">
        <v>140</v>
      </c>
      <c r="D32" s="317" t="str">
        <f t="shared" si="0"/>
        <v>NA</v>
      </c>
      <c r="E32" s="317" t="str">
        <f t="shared" si="1"/>
        <v>NA</v>
      </c>
      <c r="F32" s="317" t="str">
        <f t="shared" si="2"/>
        <v>NA</v>
      </c>
      <c r="G32" s="317" t="str">
        <f t="shared" si="3"/>
        <v>NA</v>
      </c>
      <c r="H32" s="317"/>
      <c r="I32" s="317" t="str">
        <f t="shared" si="7"/>
        <v>Keith Scott</v>
      </c>
      <c r="J32" s="317" t="str">
        <f t="shared" si="4"/>
        <v>NA</v>
      </c>
      <c r="K32" s="317" t="str">
        <f t="shared" si="5"/>
        <v>NA</v>
      </c>
      <c r="L32" s="317" t="str">
        <f t="shared" si="6"/>
        <v>NA</v>
      </c>
      <c r="M32" s="317"/>
      <c r="N32" s="317" t="s">
        <v>1491</v>
      </c>
      <c r="O32" s="285" t="s">
        <v>156</v>
      </c>
      <c r="P32" s="287" t="s">
        <v>150</v>
      </c>
      <c r="Q32" s="290"/>
      <c r="R32" s="296"/>
      <c r="S32" s="297"/>
      <c r="T32" s="297"/>
      <c r="U32" s="283"/>
      <c r="V32" s="283"/>
      <c r="W32" s="262"/>
    </row>
    <row r="33" spans="1:23">
      <c r="A33" s="309" t="s">
        <v>5</v>
      </c>
      <c r="B33" s="313" t="s">
        <v>142</v>
      </c>
      <c r="C33" s="299" t="s">
        <v>140</v>
      </c>
      <c r="D33" s="317" t="str">
        <f t="shared" si="0"/>
        <v>NA</v>
      </c>
      <c r="E33" s="317" t="str">
        <f t="shared" si="1"/>
        <v>NA</v>
      </c>
      <c r="F33" s="317" t="str">
        <f t="shared" si="2"/>
        <v>NA</v>
      </c>
      <c r="G33" s="317" t="str">
        <f t="shared" si="3"/>
        <v>NA</v>
      </c>
      <c r="H33" s="317"/>
      <c r="I33" s="317" t="str">
        <f t="shared" si="7"/>
        <v>Keith Scott</v>
      </c>
      <c r="J33" s="317" t="str">
        <f t="shared" si="4"/>
        <v>NA</v>
      </c>
      <c r="K33" s="317" t="str">
        <f t="shared" si="5"/>
        <v>NA</v>
      </c>
      <c r="L33" s="317" t="str">
        <f t="shared" si="6"/>
        <v>Ryan McDermid</v>
      </c>
      <c r="M33" s="317"/>
      <c r="N33" s="317" t="s">
        <v>1491</v>
      </c>
      <c r="O33" s="285" t="s">
        <v>194</v>
      </c>
      <c r="P33" s="287"/>
      <c r="Q33" s="290" t="s">
        <v>195</v>
      </c>
      <c r="R33" s="296" t="s">
        <v>196</v>
      </c>
      <c r="S33" s="297" t="s">
        <v>18</v>
      </c>
      <c r="T33" s="297">
        <v>53143</v>
      </c>
      <c r="U33" s="283">
        <v>25113</v>
      </c>
      <c r="V33" s="283" t="s">
        <v>197</v>
      </c>
      <c r="W33" s="271" t="s">
        <v>198</v>
      </c>
    </row>
    <row r="34" spans="1:23">
      <c r="A34" s="309" t="s">
        <v>5</v>
      </c>
      <c r="B34" s="315" t="s">
        <v>150</v>
      </c>
      <c r="C34" s="299" t="s">
        <v>140</v>
      </c>
      <c r="D34" s="317" t="str">
        <f t="shared" si="0"/>
        <v>NA</v>
      </c>
      <c r="E34" s="317" t="str">
        <f t="shared" si="1"/>
        <v>NA</v>
      </c>
      <c r="F34" s="317" t="str">
        <f t="shared" si="2"/>
        <v>NA</v>
      </c>
      <c r="G34" s="317" t="str">
        <f t="shared" si="3"/>
        <v>NA</v>
      </c>
      <c r="H34" s="317"/>
      <c r="I34" s="317" t="str">
        <f t="shared" si="7"/>
        <v>Keith Scott</v>
      </c>
      <c r="J34" s="317" t="str">
        <f t="shared" si="4"/>
        <v>NA</v>
      </c>
      <c r="K34" s="317" t="str">
        <f t="shared" si="5"/>
        <v>NA</v>
      </c>
      <c r="L34" s="317" t="str">
        <f t="shared" si="6"/>
        <v>Chris Berger</v>
      </c>
      <c r="M34" s="317"/>
      <c r="N34" s="317" t="s">
        <v>1491</v>
      </c>
      <c r="O34" s="285" t="s">
        <v>199</v>
      </c>
      <c r="P34" s="272"/>
      <c r="Q34" s="273" t="s">
        <v>200</v>
      </c>
      <c r="R34" s="274" t="s">
        <v>99</v>
      </c>
      <c r="S34" s="272" t="s">
        <v>18</v>
      </c>
      <c r="T34" s="272">
        <v>54403</v>
      </c>
      <c r="U34" s="275">
        <v>13332</v>
      </c>
      <c r="V34" s="275" t="s">
        <v>201</v>
      </c>
      <c r="W34" s="262" t="s">
        <v>202</v>
      </c>
    </row>
    <row r="35" spans="1:23">
      <c r="A35" s="309" t="s">
        <v>5</v>
      </c>
      <c r="B35" s="315" t="s">
        <v>163</v>
      </c>
      <c r="C35" s="299" t="s">
        <v>140</v>
      </c>
      <c r="D35" s="317" t="str">
        <f t="shared" si="0"/>
        <v>NA</v>
      </c>
      <c r="E35" s="317" t="str">
        <f t="shared" si="1"/>
        <v>NA</v>
      </c>
      <c r="F35" s="317" t="str">
        <f t="shared" si="2"/>
        <v>NA</v>
      </c>
      <c r="G35" s="317" t="str">
        <f t="shared" si="3"/>
        <v>NA</v>
      </c>
      <c r="H35" s="317"/>
      <c r="I35" s="317" t="str">
        <f t="shared" si="7"/>
        <v>Keith Scott</v>
      </c>
      <c r="J35" s="317" t="str">
        <f t="shared" si="4"/>
        <v>NA</v>
      </c>
      <c r="K35" s="317" t="str">
        <f t="shared" si="5"/>
        <v>NA</v>
      </c>
      <c r="L35" s="317" t="str">
        <f t="shared" si="6"/>
        <v>Collin Wuebben</v>
      </c>
      <c r="M35" s="317"/>
      <c r="N35" s="317" t="s">
        <v>1491</v>
      </c>
      <c r="O35" s="285" t="s">
        <v>203</v>
      </c>
      <c r="P35" s="272"/>
      <c r="Q35" s="273" t="s">
        <v>204</v>
      </c>
      <c r="R35" s="274" t="s">
        <v>205</v>
      </c>
      <c r="S35" s="272" t="s">
        <v>94</v>
      </c>
      <c r="T35" s="272">
        <v>54742</v>
      </c>
      <c r="U35" s="275"/>
      <c r="V35" s="275" t="s">
        <v>206</v>
      </c>
      <c r="W35" s="268" t="s">
        <v>207</v>
      </c>
    </row>
    <row r="36" spans="1:23">
      <c r="A36" s="310" t="s">
        <v>126</v>
      </c>
      <c r="B36" s="314" t="s">
        <v>208</v>
      </c>
      <c r="C36" s="318" t="s">
        <v>209</v>
      </c>
      <c r="D36" s="317" t="str">
        <f t="shared" si="0"/>
        <v>NA</v>
      </c>
      <c r="E36" s="317" t="str">
        <f t="shared" si="1"/>
        <v>NA</v>
      </c>
      <c r="F36" s="317" t="str">
        <f t="shared" si="2"/>
        <v>NA</v>
      </c>
      <c r="G36" s="317" t="str">
        <f t="shared" si="3"/>
        <v>NA</v>
      </c>
      <c r="H36" s="317"/>
      <c r="I36" s="317" t="str">
        <f t="shared" si="7"/>
        <v>Keith Scott</v>
      </c>
      <c r="J36" s="317" t="str">
        <f t="shared" si="4"/>
        <v>Brian Luptak</v>
      </c>
      <c r="K36" s="317" t="str">
        <f t="shared" si="5"/>
        <v>NA</v>
      </c>
      <c r="L36" s="317" t="str">
        <f t="shared" si="6"/>
        <v>NA</v>
      </c>
      <c r="M36" s="317"/>
      <c r="N36" s="317" t="s">
        <v>1491</v>
      </c>
      <c r="O36" s="245"/>
      <c r="P36" s="244"/>
      <c r="Q36" s="243" t="s">
        <v>210</v>
      </c>
      <c r="R36" s="243" t="s">
        <v>211</v>
      </c>
      <c r="S36" s="243" t="s">
        <v>212</v>
      </c>
      <c r="T36" s="243">
        <v>59079</v>
      </c>
      <c r="U36" s="248"/>
      <c r="V36" s="248" t="s">
        <v>213</v>
      </c>
      <c r="W36" s="268" t="s">
        <v>214</v>
      </c>
    </row>
    <row r="37" spans="1:23">
      <c r="A37" s="310" t="s">
        <v>135</v>
      </c>
      <c r="B37" s="314" t="s">
        <v>215</v>
      </c>
      <c r="C37" s="318" t="s">
        <v>219</v>
      </c>
      <c r="D37" s="317" t="str">
        <f t="shared" si="0"/>
        <v>Max Hammerstrom</v>
      </c>
      <c r="E37" s="317" t="str">
        <f t="shared" si="1"/>
        <v>NA</v>
      </c>
      <c r="F37" s="317" t="str">
        <f t="shared" si="2"/>
        <v>NA</v>
      </c>
      <c r="G37" s="317" t="str">
        <f t="shared" si="3"/>
        <v>NA</v>
      </c>
      <c r="H37" s="317"/>
      <c r="I37" s="317" t="str">
        <f t="shared" si="7"/>
        <v>Keith Scott</v>
      </c>
      <c r="J37" s="317" t="str">
        <f t="shared" si="4"/>
        <v>NA</v>
      </c>
      <c r="K37" s="317" t="str">
        <f t="shared" si="5"/>
        <v>NA</v>
      </c>
      <c r="L37" s="317" t="str">
        <f t="shared" si="6"/>
        <v>NA</v>
      </c>
      <c r="M37" s="317"/>
      <c r="N37" s="317" t="s">
        <v>1491</v>
      </c>
      <c r="O37" s="245"/>
      <c r="P37" s="244"/>
      <c r="Q37" s="244"/>
      <c r="R37" s="244"/>
      <c r="S37" s="244"/>
      <c r="T37" s="244"/>
      <c r="U37" s="244"/>
      <c r="V37" s="244"/>
      <c r="W37" s="276" t="s">
        <v>216</v>
      </c>
    </row>
    <row r="38" spans="1:23">
      <c r="A38" s="309" t="s">
        <v>147</v>
      </c>
      <c r="B38" s="313" t="s">
        <v>218</v>
      </c>
      <c r="C38" s="300" t="s">
        <v>219</v>
      </c>
      <c r="D38" s="317" t="str">
        <f t="shared" si="0"/>
        <v>NA</v>
      </c>
      <c r="E38" s="317" t="str">
        <f t="shared" si="1"/>
        <v>NA</v>
      </c>
      <c r="F38" s="317" t="str">
        <f t="shared" si="2"/>
        <v>NA</v>
      </c>
      <c r="G38" s="317" t="str">
        <f t="shared" si="3"/>
        <v>NA</v>
      </c>
      <c r="H38" s="317"/>
      <c r="I38" s="317" t="str">
        <f t="shared" si="7"/>
        <v>Keith Scott</v>
      </c>
      <c r="J38" s="317" t="str">
        <f t="shared" si="4"/>
        <v>NA</v>
      </c>
      <c r="K38" s="317" t="str">
        <f t="shared" si="5"/>
        <v>Dalton Lemburg</v>
      </c>
      <c r="L38" s="317" t="str">
        <f t="shared" si="6"/>
        <v>NA</v>
      </c>
      <c r="M38" s="317"/>
      <c r="N38" s="317" t="s">
        <v>1491</v>
      </c>
      <c r="O38" s="285" t="s">
        <v>220</v>
      </c>
      <c r="P38" s="287" t="s">
        <v>221</v>
      </c>
      <c r="Q38" s="290" t="s">
        <v>222</v>
      </c>
      <c r="R38" s="296" t="s">
        <v>223</v>
      </c>
      <c r="S38" s="297" t="s">
        <v>212</v>
      </c>
      <c r="T38" s="297">
        <v>59105</v>
      </c>
      <c r="U38" s="283"/>
      <c r="V38" s="295" t="s">
        <v>224</v>
      </c>
      <c r="W38" s="262" t="s">
        <v>225</v>
      </c>
    </row>
    <row r="39" spans="1:23">
      <c r="A39" s="309" t="s">
        <v>147</v>
      </c>
      <c r="B39" s="313" t="s">
        <v>226</v>
      </c>
      <c r="C39" s="300" t="s">
        <v>219</v>
      </c>
      <c r="D39" s="317" t="str">
        <f t="shared" si="0"/>
        <v>NA</v>
      </c>
      <c r="E39" s="317" t="str">
        <f t="shared" si="1"/>
        <v>NA</v>
      </c>
      <c r="F39" s="317" t="str">
        <f t="shared" si="2"/>
        <v>NA</v>
      </c>
      <c r="G39" s="317" t="str">
        <f t="shared" si="3"/>
        <v>NA</v>
      </c>
      <c r="H39" s="317"/>
      <c r="I39" s="317" t="str">
        <f t="shared" si="7"/>
        <v>Keith Scott</v>
      </c>
      <c r="J39" s="317" t="str">
        <f t="shared" si="4"/>
        <v>NA</v>
      </c>
      <c r="K39" s="317" t="str">
        <f t="shared" si="5"/>
        <v>Ryan Froemke</v>
      </c>
      <c r="L39" s="317" t="str">
        <f t="shared" si="6"/>
        <v>NA</v>
      </c>
      <c r="M39" s="317"/>
      <c r="N39" s="317" t="s">
        <v>1491</v>
      </c>
      <c r="O39" s="285" t="s">
        <v>227</v>
      </c>
      <c r="Q39" s="290" t="s">
        <v>228</v>
      </c>
      <c r="R39" s="296" t="s">
        <v>229</v>
      </c>
      <c r="S39" s="287" t="s">
        <v>230</v>
      </c>
      <c r="T39" s="287">
        <v>58072</v>
      </c>
      <c r="U39" s="283"/>
      <c r="V39" s="283" t="s">
        <v>231</v>
      </c>
      <c r="W39" s="262" t="s">
        <v>232</v>
      </c>
    </row>
    <row r="40" spans="1:23" ht="19.5" customHeight="1">
      <c r="A40" s="309" t="s">
        <v>147</v>
      </c>
      <c r="B40" s="292" t="s">
        <v>233</v>
      </c>
      <c r="C40" s="300" t="s">
        <v>219</v>
      </c>
      <c r="D40" s="317" t="str">
        <f t="shared" si="0"/>
        <v>NA</v>
      </c>
      <c r="E40" s="317" t="str">
        <f t="shared" si="1"/>
        <v>NA</v>
      </c>
      <c r="F40" s="317" t="str">
        <f t="shared" si="2"/>
        <v>NA</v>
      </c>
      <c r="G40" s="317" t="str">
        <f t="shared" si="3"/>
        <v>NA</v>
      </c>
      <c r="H40" s="317"/>
      <c r="I40" s="317" t="str">
        <f t="shared" si="7"/>
        <v>Keith Scott</v>
      </c>
      <c r="J40" s="317" t="str">
        <f t="shared" si="4"/>
        <v>NA</v>
      </c>
      <c r="K40" s="317" t="str">
        <f t="shared" si="5"/>
        <v>Micah Browning</v>
      </c>
      <c r="L40" s="317" t="str">
        <f t="shared" si="6"/>
        <v>NA</v>
      </c>
      <c r="M40" s="317"/>
      <c r="N40" s="317" t="s">
        <v>1491</v>
      </c>
      <c r="O40" s="299" t="s">
        <v>234</v>
      </c>
      <c r="P40" s="284" t="s">
        <v>235</v>
      </c>
      <c r="Q40" s="292" t="s">
        <v>236</v>
      </c>
      <c r="R40" s="293" t="s">
        <v>237</v>
      </c>
      <c r="S40" s="294" t="s">
        <v>50</v>
      </c>
      <c r="T40" s="294">
        <v>69361</v>
      </c>
      <c r="U40" s="283"/>
      <c r="V40" s="283" t="s">
        <v>238</v>
      </c>
      <c r="W40" s="262" t="s">
        <v>239</v>
      </c>
    </row>
    <row r="41" spans="1:23">
      <c r="A41" s="309" t="s">
        <v>147</v>
      </c>
      <c r="B41" s="313" t="s">
        <v>240</v>
      </c>
      <c r="C41" s="300" t="s">
        <v>219</v>
      </c>
      <c r="D41" s="317" t="str">
        <f t="shared" si="0"/>
        <v>NA</v>
      </c>
      <c r="E41" s="317" t="str">
        <f t="shared" si="1"/>
        <v>NA</v>
      </c>
      <c r="F41" s="317" t="str">
        <f t="shared" si="2"/>
        <v>NA</v>
      </c>
      <c r="G41" s="317" t="str">
        <f t="shared" si="3"/>
        <v>NA</v>
      </c>
      <c r="H41" s="317"/>
      <c r="I41" s="317" t="str">
        <f t="shared" si="7"/>
        <v>Keith Scott</v>
      </c>
      <c r="J41" s="317" t="str">
        <f t="shared" si="4"/>
        <v>NA</v>
      </c>
      <c r="K41" s="317" t="str">
        <f t="shared" si="5"/>
        <v>Danny Taylor</v>
      </c>
      <c r="L41" s="317" t="str">
        <f t="shared" si="6"/>
        <v>NA</v>
      </c>
      <c r="M41" s="317"/>
      <c r="N41" s="317" t="s">
        <v>1491</v>
      </c>
      <c r="O41" s="285" t="s">
        <v>241</v>
      </c>
      <c r="P41" s="287" t="s">
        <v>242</v>
      </c>
      <c r="Q41" s="300" t="s">
        <v>243</v>
      </c>
      <c r="R41" s="288" t="s">
        <v>244</v>
      </c>
      <c r="S41" s="289" t="s">
        <v>245</v>
      </c>
      <c r="T41" s="289">
        <v>80211</v>
      </c>
      <c r="V41" s="295" t="s">
        <v>246</v>
      </c>
      <c r="W41" s="270" t="s">
        <v>247</v>
      </c>
    </row>
    <row r="42" spans="1:23">
      <c r="A42" s="309" t="s">
        <v>147</v>
      </c>
      <c r="B42" s="313" t="s">
        <v>248</v>
      </c>
      <c r="C42" s="299" t="s">
        <v>219</v>
      </c>
      <c r="D42" s="317" t="str">
        <f t="shared" si="0"/>
        <v>NA</v>
      </c>
      <c r="E42" s="317" t="str">
        <f t="shared" si="1"/>
        <v>NA</v>
      </c>
      <c r="F42" s="317" t="str">
        <f t="shared" si="2"/>
        <v>NA</v>
      </c>
      <c r="G42" s="317" t="str">
        <f t="shared" si="3"/>
        <v>NA</v>
      </c>
      <c r="H42" s="317"/>
      <c r="I42" s="317" t="str">
        <f t="shared" si="7"/>
        <v>Keith Scott</v>
      </c>
      <c r="J42" s="317" t="str">
        <f t="shared" si="4"/>
        <v>NA</v>
      </c>
      <c r="K42" s="317" t="str">
        <f t="shared" si="5"/>
        <v>Graig Sells</v>
      </c>
      <c r="L42" s="317" t="str">
        <f t="shared" si="6"/>
        <v>NA</v>
      </c>
      <c r="M42" s="317"/>
      <c r="N42" s="317" t="s">
        <v>1491</v>
      </c>
      <c r="O42" s="285" t="s">
        <v>249</v>
      </c>
      <c r="P42" s="283" t="s">
        <v>250</v>
      </c>
      <c r="Q42" s="300" t="s">
        <v>251</v>
      </c>
      <c r="R42" s="288" t="s">
        <v>252</v>
      </c>
      <c r="S42" s="289" t="s">
        <v>245</v>
      </c>
      <c r="T42" s="289">
        <v>80134</v>
      </c>
      <c r="U42" s="283"/>
      <c r="V42" s="283" t="s">
        <v>253</v>
      </c>
      <c r="W42" s="268" t="s">
        <v>254</v>
      </c>
    </row>
    <row r="43" spans="1:23">
      <c r="A43" s="309" t="s">
        <v>147</v>
      </c>
      <c r="B43" s="313" t="s">
        <v>255</v>
      </c>
      <c r="C43" s="300" t="s">
        <v>219</v>
      </c>
      <c r="D43" s="317" t="str">
        <f t="shared" si="0"/>
        <v>NA</v>
      </c>
      <c r="E43" s="317" t="str">
        <f t="shared" si="1"/>
        <v>NA</v>
      </c>
      <c r="F43" s="317" t="str">
        <f t="shared" si="2"/>
        <v>NA</v>
      </c>
      <c r="G43" s="317" t="str">
        <f t="shared" si="3"/>
        <v>NA</v>
      </c>
      <c r="H43" s="317"/>
      <c r="I43" s="317" t="str">
        <f t="shared" si="7"/>
        <v>Keith Scott</v>
      </c>
      <c r="J43" s="317" t="str">
        <f t="shared" si="4"/>
        <v>NA</v>
      </c>
      <c r="K43" s="317" t="str">
        <f t="shared" si="5"/>
        <v>Josh Moller</v>
      </c>
      <c r="L43" s="317" t="str">
        <f t="shared" si="6"/>
        <v>NA</v>
      </c>
      <c r="M43" s="317"/>
      <c r="N43" s="317" t="s">
        <v>1491</v>
      </c>
      <c r="O43" s="285" t="s">
        <v>256</v>
      </c>
      <c r="P43" s="287" t="s">
        <v>221</v>
      </c>
      <c r="Q43" s="300" t="s">
        <v>257</v>
      </c>
      <c r="R43" s="288" t="s">
        <v>258</v>
      </c>
      <c r="S43" s="289" t="s">
        <v>259</v>
      </c>
      <c r="T43" s="289">
        <v>57701</v>
      </c>
      <c r="U43" s="283"/>
      <c r="V43" s="283" t="s">
        <v>260</v>
      </c>
      <c r="W43" s="262" t="s">
        <v>261</v>
      </c>
    </row>
    <row r="44" spans="1:23" ht="17.25" customHeight="1">
      <c r="A44" s="309" t="s">
        <v>147</v>
      </c>
      <c r="B44" s="292" t="s">
        <v>262</v>
      </c>
      <c r="C44" s="299" t="s">
        <v>219</v>
      </c>
      <c r="D44" s="317" t="str">
        <f t="shared" si="0"/>
        <v>NA</v>
      </c>
      <c r="E44" s="317" t="str">
        <f t="shared" si="1"/>
        <v>NA</v>
      </c>
      <c r="F44" s="317" t="str">
        <f t="shared" si="2"/>
        <v>NA</v>
      </c>
      <c r="G44" s="317" t="str">
        <f t="shared" si="3"/>
        <v>NA</v>
      </c>
      <c r="H44" s="317"/>
      <c r="I44" s="317" t="str">
        <f t="shared" si="7"/>
        <v>Keith Scott</v>
      </c>
      <c r="J44" s="317" t="str">
        <f t="shared" si="4"/>
        <v>NA</v>
      </c>
      <c r="K44" s="317" t="str">
        <f t="shared" si="5"/>
        <v>Kelly Hardrick</v>
      </c>
      <c r="L44" s="317" t="str">
        <f t="shared" si="6"/>
        <v>NA</v>
      </c>
      <c r="M44" s="317"/>
      <c r="N44" s="317" t="s">
        <v>1491</v>
      </c>
      <c r="O44" s="291" t="s">
        <v>263</v>
      </c>
      <c r="P44" s="284" t="s">
        <v>264</v>
      </c>
      <c r="Q44" s="299" t="s">
        <v>265</v>
      </c>
      <c r="R44" s="301" t="s">
        <v>266</v>
      </c>
      <c r="S44" s="302" t="s">
        <v>245</v>
      </c>
      <c r="T44" s="302">
        <v>81525</v>
      </c>
      <c r="U44" s="283"/>
      <c r="V44" s="283" t="s">
        <v>267</v>
      </c>
      <c r="W44" s="268" t="s">
        <v>268</v>
      </c>
    </row>
    <row r="45" spans="1:23">
      <c r="A45" s="309" t="s">
        <v>5</v>
      </c>
      <c r="B45" s="313" t="s">
        <v>221</v>
      </c>
      <c r="C45" s="306" t="s">
        <v>219</v>
      </c>
      <c r="D45" s="317" t="str">
        <f t="shared" si="0"/>
        <v>NA</v>
      </c>
      <c r="E45" s="317" t="str">
        <f t="shared" si="1"/>
        <v>NA</v>
      </c>
      <c r="F45" s="317" t="str">
        <f t="shared" si="2"/>
        <v>NA</v>
      </c>
      <c r="G45" s="317" t="str">
        <f t="shared" si="3"/>
        <v>NA</v>
      </c>
      <c r="H45" s="317"/>
      <c r="I45" s="317" t="str">
        <f t="shared" si="7"/>
        <v>Keith Scott</v>
      </c>
      <c r="J45" s="317" t="str">
        <f t="shared" si="4"/>
        <v>NA</v>
      </c>
      <c r="K45" s="317" t="str">
        <f t="shared" si="5"/>
        <v>NA</v>
      </c>
      <c r="L45" s="317" t="str">
        <f t="shared" si="6"/>
        <v>Chad Lemburg</v>
      </c>
      <c r="M45" s="317"/>
      <c r="N45" s="317" t="s">
        <v>1491</v>
      </c>
      <c r="O45" s="285" t="s">
        <v>269</v>
      </c>
      <c r="P45" s="303"/>
      <c r="Q45" s="290" t="s">
        <v>270</v>
      </c>
      <c r="R45" s="290" t="s">
        <v>223</v>
      </c>
      <c r="S45" s="287" t="s">
        <v>212</v>
      </c>
      <c r="T45" s="297">
        <v>59105</v>
      </c>
      <c r="U45" s="283"/>
      <c r="V45" s="283" t="s">
        <v>271</v>
      </c>
      <c r="W45" s="268" t="s">
        <v>272</v>
      </c>
    </row>
    <row r="46" spans="1:23">
      <c r="A46" s="309" t="s">
        <v>5</v>
      </c>
      <c r="B46" s="313" t="s">
        <v>242</v>
      </c>
      <c r="C46" s="299" t="s">
        <v>219</v>
      </c>
      <c r="D46" s="317" t="str">
        <f t="shared" si="0"/>
        <v>NA</v>
      </c>
      <c r="E46" s="317" t="str">
        <f t="shared" si="1"/>
        <v>NA</v>
      </c>
      <c r="F46" s="317" t="str">
        <f t="shared" si="2"/>
        <v>NA</v>
      </c>
      <c r="G46" s="317" t="str">
        <f t="shared" si="3"/>
        <v>NA</v>
      </c>
      <c r="H46" s="317"/>
      <c r="I46" s="317" t="str">
        <f t="shared" si="7"/>
        <v>Keith Scott</v>
      </c>
      <c r="J46" s="317" t="str">
        <f t="shared" si="4"/>
        <v>NA</v>
      </c>
      <c r="K46" s="317" t="str">
        <f t="shared" si="5"/>
        <v>NA</v>
      </c>
      <c r="L46" s="317" t="str">
        <f t="shared" si="6"/>
        <v>Andrew Stuart</v>
      </c>
      <c r="M46" s="317"/>
      <c r="N46" s="317" t="s">
        <v>1491</v>
      </c>
      <c r="O46" s="285" t="s">
        <v>241</v>
      </c>
      <c r="P46" s="283"/>
      <c r="Q46" s="300" t="s">
        <v>273</v>
      </c>
      <c r="R46" s="288" t="s">
        <v>244</v>
      </c>
      <c r="S46" s="289" t="s">
        <v>245</v>
      </c>
      <c r="T46" s="289">
        <v>80238</v>
      </c>
      <c r="U46" s="283"/>
      <c r="V46" s="283" t="s">
        <v>274</v>
      </c>
      <c r="W46" s="262" t="s">
        <v>275</v>
      </c>
    </row>
    <row r="47" spans="1:23">
      <c r="A47" s="309" t="s">
        <v>5</v>
      </c>
      <c r="B47" s="315" t="s">
        <v>250</v>
      </c>
      <c r="C47" s="300" t="s">
        <v>219</v>
      </c>
      <c r="D47" s="317" t="str">
        <f t="shared" si="0"/>
        <v>NA</v>
      </c>
      <c r="E47" s="317" t="str">
        <f t="shared" si="1"/>
        <v>NA</v>
      </c>
      <c r="F47" s="317" t="str">
        <f t="shared" si="2"/>
        <v>NA</v>
      </c>
      <c r="G47" s="317" t="str">
        <f t="shared" si="3"/>
        <v>NA</v>
      </c>
      <c r="H47" s="317"/>
      <c r="I47" s="317" t="str">
        <f t="shared" si="7"/>
        <v>Keith Scott</v>
      </c>
      <c r="J47" s="317" t="str">
        <f t="shared" si="4"/>
        <v>NA</v>
      </c>
      <c r="K47" s="317" t="str">
        <f t="shared" si="5"/>
        <v>NA</v>
      </c>
      <c r="L47" s="317" t="str">
        <f t="shared" si="6"/>
        <v>Kevin Muller</v>
      </c>
      <c r="M47" s="317"/>
      <c r="N47" s="317" t="s">
        <v>1491</v>
      </c>
      <c r="O47" s="285" t="s">
        <v>249</v>
      </c>
      <c r="P47" s="287"/>
      <c r="Q47" s="282" t="s">
        <v>276</v>
      </c>
      <c r="R47" s="282" t="s">
        <v>277</v>
      </c>
      <c r="S47" s="295" t="s">
        <v>245</v>
      </c>
      <c r="T47" s="295">
        <v>80011</v>
      </c>
      <c r="U47" s="295"/>
      <c r="V47" s="295" t="s">
        <v>278</v>
      </c>
      <c r="W47" s="270" t="s">
        <v>279</v>
      </c>
    </row>
    <row r="48" spans="1:23">
      <c r="A48" s="310" t="s">
        <v>126</v>
      </c>
      <c r="B48" s="314" t="s">
        <v>280</v>
      </c>
      <c r="C48" s="318" t="s">
        <v>281</v>
      </c>
      <c r="D48" s="317" t="str">
        <f t="shared" si="0"/>
        <v>NA</v>
      </c>
      <c r="E48" s="317" t="str">
        <f t="shared" si="1"/>
        <v>NA</v>
      </c>
      <c r="F48" s="317" t="str">
        <f t="shared" si="2"/>
        <v>NA</v>
      </c>
      <c r="G48" s="317" t="str">
        <f t="shared" si="3"/>
        <v>NA</v>
      </c>
      <c r="H48" s="317"/>
      <c r="I48" s="317" t="str">
        <f t="shared" si="7"/>
        <v>Keith Scott</v>
      </c>
      <c r="J48" s="317" t="str">
        <f t="shared" si="4"/>
        <v>Joe Robinson</v>
      </c>
      <c r="K48" s="317" t="str">
        <f t="shared" si="5"/>
        <v>NA</v>
      </c>
      <c r="L48" s="317" t="str">
        <f t="shared" si="6"/>
        <v>NA</v>
      </c>
      <c r="M48" s="317"/>
      <c r="N48" s="317" t="s">
        <v>1491</v>
      </c>
      <c r="O48" s="245"/>
      <c r="P48" s="244"/>
      <c r="Q48" s="243" t="s">
        <v>282</v>
      </c>
      <c r="R48" s="243" t="s">
        <v>283</v>
      </c>
      <c r="S48" s="243" t="s">
        <v>131</v>
      </c>
      <c r="T48" s="243">
        <v>60115</v>
      </c>
      <c r="U48" s="248"/>
      <c r="V48" s="248" t="s">
        <v>284</v>
      </c>
      <c r="W48" s="268" t="s">
        <v>285</v>
      </c>
    </row>
    <row r="49" spans="1:23">
      <c r="A49" s="310" t="s">
        <v>135</v>
      </c>
      <c r="B49" s="314" t="s">
        <v>286</v>
      </c>
      <c r="C49" s="318" t="s">
        <v>289</v>
      </c>
      <c r="D49" s="317" t="str">
        <f t="shared" si="0"/>
        <v>Paul Schuh</v>
      </c>
      <c r="E49" s="317" t="str">
        <f t="shared" si="1"/>
        <v>NA</v>
      </c>
      <c r="F49" s="317" t="str">
        <f t="shared" si="2"/>
        <v>NA</v>
      </c>
      <c r="G49" s="317" t="str">
        <f t="shared" si="3"/>
        <v>NA</v>
      </c>
      <c r="H49" s="317"/>
      <c r="I49" s="317" t="str">
        <f t="shared" si="7"/>
        <v>Keith Scott</v>
      </c>
      <c r="J49" s="317" t="str">
        <f t="shared" si="4"/>
        <v>NA</v>
      </c>
      <c r="K49" s="317" t="str">
        <f t="shared" si="5"/>
        <v>NA</v>
      </c>
      <c r="L49" s="317" t="str">
        <f t="shared" si="6"/>
        <v>NA</v>
      </c>
      <c r="M49" s="317"/>
      <c r="N49" s="317" t="s">
        <v>1491</v>
      </c>
      <c r="O49" s="245"/>
      <c r="P49" s="244"/>
      <c r="Q49" s="246"/>
      <c r="R49" s="247"/>
      <c r="S49" s="244"/>
      <c r="T49" s="244"/>
      <c r="U49" s="248"/>
      <c r="V49" s="248"/>
      <c r="W49" s="262" t="s">
        <v>287</v>
      </c>
    </row>
    <row r="50" spans="1:23">
      <c r="A50" s="309" t="s">
        <v>147</v>
      </c>
      <c r="B50" s="313" t="s">
        <v>288</v>
      </c>
      <c r="C50" s="299" t="s">
        <v>289</v>
      </c>
      <c r="D50" s="317" t="str">
        <f t="shared" si="0"/>
        <v>NA</v>
      </c>
      <c r="E50" s="317" t="str">
        <f t="shared" si="1"/>
        <v>NA</v>
      </c>
      <c r="F50" s="317" t="str">
        <f t="shared" si="2"/>
        <v>NA</v>
      </c>
      <c r="G50" s="317" t="str">
        <f t="shared" si="3"/>
        <v>NA</v>
      </c>
      <c r="H50" s="317"/>
      <c r="I50" s="317" t="str">
        <f t="shared" si="7"/>
        <v>Keith Scott</v>
      </c>
      <c r="J50" s="317" t="str">
        <f t="shared" si="4"/>
        <v>NA</v>
      </c>
      <c r="K50" s="317" t="str">
        <f t="shared" si="5"/>
        <v>Bradley Moeller</v>
      </c>
      <c r="L50" s="317" t="str">
        <f t="shared" si="6"/>
        <v>NA</v>
      </c>
      <c r="M50" s="317"/>
      <c r="N50" s="317" t="s">
        <v>1491</v>
      </c>
      <c r="O50" s="285" t="s">
        <v>290</v>
      </c>
      <c r="P50" s="298" t="s">
        <v>291</v>
      </c>
      <c r="Q50" s="290" t="s">
        <v>292</v>
      </c>
      <c r="R50" s="296" t="s">
        <v>293</v>
      </c>
      <c r="S50" s="297" t="s">
        <v>294</v>
      </c>
      <c r="T50" s="297">
        <v>52745</v>
      </c>
      <c r="U50" s="283">
        <v>15253</v>
      </c>
      <c r="V50" s="283" t="s">
        <v>295</v>
      </c>
      <c r="W50" s="262" t="s">
        <v>296</v>
      </c>
    </row>
    <row r="51" spans="1:23">
      <c r="A51" s="309" t="s">
        <v>147</v>
      </c>
      <c r="B51" s="312" t="s">
        <v>297</v>
      </c>
      <c r="C51" s="300" t="s">
        <v>289</v>
      </c>
      <c r="D51" s="317" t="str">
        <f t="shared" si="0"/>
        <v>NA</v>
      </c>
      <c r="E51" s="317" t="str">
        <f t="shared" si="1"/>
        <v>NA</v>
      </c>
      <c r="F51" s="317" t="str">
        <f t="shared" si="2"/>
        <v>NA</v>
      </c>
      <c r="G51" s="317" t="str">
        <f t="shared" si="3"/>
        <v>NA</v>
      </c>
      <c r="H51" s="317"/>
      <c r="I51" s="317" t="str">
        <f t="shared" si="7"/>
        <v>Keith Scott</v>
      </c>
      <c r="J51" s="317" t="str">
        <f t="shared" si="4"/>
        <v>NA</v>
      </c>
      <c r="K51" s="317" t="str">
        <f t="shared" si="5"/>
        <v>Jacob Cabbage</v>
      </c>
      <c r="L51" s="317" t="str">
        <f t="shared" si="6"/>
        <v>NA</v>
      </c>
      <c r="M51" s="317"/>
      <c r="N51" s="317" t="s">
        <v>1491</v>
      </c>
      <c r="O51" s="285" t="s">
        <v>298</v>
      </c>
      <c r="P51" s="298" t="s">
        <v>291</v>
      </c>
      <c r="Q51" s="290" t="s">
        <v>299</v>
      </c>
      <c r="R51" s="288" t="s">
        <v>300</v>
      </c>
      <c r="S51" s="289" t="s">
        <v>294</v>
      </c>
      <c r="T51" s="289">
        <v>50266</v>
      </c>
      <c r="U51" s="283"/>
      <c r="V51" s="283" t="s">
        <v>301</v>
      </c>
      <c r="W51" s="268" t="s">
        <v>302</v>
      </c>
    </row>
    <row r="52" spans="1:23">
      <c r="A52" s="309" t="s">
        <v>147</v>
      </c>
      <c r="B52" s="313" t="s">
        <v>303</v>
      </c>
      <c r="C52" s="299" t="s">
        <v>289</v>
      </c>
      <c r="D52" s="317" t="str">
        <f t="shared" si="0"/>
        <v>NA</v>
      </c>
      <c r="E52" s="317" t="str">
        <f t="shared" si="1"/>
        <v>NA</v>
      </c>
      <c r="F52" s="317" t="str">
        <f t="shared" si="2"/>
        <v>NA</v>
      </c>
      <c r="G52" s="317" t="str">
        <f t="shared" si="3"/>
        <v>NA</v>
      </c>
      <c r="H52" s="317"/>
      <c r="I52" s="317" t="str">
        <f t="shared" si="7"/>
        <v>Keith Scott</v>
      </c>
      <c r="J52" s="317" t="str">
        <f t="shared" si="4"/>
        <v>NA</v>
      </c>
      <c r="K52" s="317" t="str">
        <f t="shared" si="5"/>
        <v>Sam Noel</v>
      </c>
      <c r="L52" s="317" t="str">
        <f t="shared" si="6"/>
        <v>NA</v>
      </c>
      <c r="M52" s="317"/>
      <c r="N52" s="317" t="s">
        <v>1491</v>
      </c>
      <c r="O52" s="285" t="s">
        <v>304</v>
      </c>
      <c r="P52" s="298" t="s">
        <v>291</v>
      </c>
      <c r="Q52" s="292" t="s">
        <v>305</v>
      </c>
      <c r="R52" s="290" t="s">
        <v>306</v>
      </c>
      <c r="S52" s="287" t="s">
        <v>294</v>
      </c>
      <c r="T52" s="287">
        <v>50670</v>
      </c>
      <c r="U52" s="283">
        <v>13388</v>
      </c>
      <c r="V52" s="287" t="s">
        <v>307</v>
      </c>
      <c r="W52" s="262" t="s">
        <v>308</v>
      </c>
    </row>
    <row r="53" spans="1:23">
      <c r="A53" s="309" t="s">
        <v>147</v>
      </c>
      <c r="B53" s="313" t="s">
        <v>309</v>
      </c>
      <c r="C53" s="299" t="s">
        <v>289</v>
      </c>
      <c r="D53" s="317" t="str">
        <f t="shared" si="0"/>
        <v>NA</v>
      </c>
      <c r="E53" s="317" t="str">
        <f t="shared" si="1"/>
        <v>NA</v>
      </c>
      <c r="F53" s="317" t="str">
        <f t="shared" si="2"/>
        <v>NA</v>
      </c>
      <c r="G53" s="317" t="str">
        <f t="shared" si="3"/>
        <v>NA</v>
      </c>
      <c r="H53" s="317"/>
      <c r="I53" s="317" t="str">
        <f t="shared" si="7"/>
        <v>Keith Scott</v>
      </c>
      <c r="J53" s="317" t="str">
        <f t="shared" si="4"/>
        <v>NA</v>
      </c>
      <c r="K53" s="317" t="str">
        <f t="shared" si="5"/>
        <v>Stephen Frueh</v>
      </c>
      <c r="L53" s="317" t="str">
        <f t="shared" si="6"/>
        <v>NA</v>
      </c>
      <c r="M53" s="317"/>
      <c r="N53" s="317" t="s">
        <v>1491</v>
      </c>
      <c r="O53" s="285" t="s">
        <v>310</v>
      </c>
      <c r="P53" s="304" t="s">
        <v>311</v>
      </c>
      <c r="Q53" s="292" t="s">
        <v>312</v>
      </c>
      <c r="R53" s="290" t="s">
        <v>313</v>
      </c>
      <c r="S53" s="287" t="s">
        <v>131</v>
      </c>
      <c r="T53" s="287">
        <v>60130</v>
      </c>
      <c r="U53" s="283"/>
      <c r="V53" s="287" t="s">
        <v>314</v>
      </c>
      <c r="W53" s="268" t="s">
        <v>315</v>
      </c>
    </row>
    <row r="54" spans="1:23">
      <c r="A54" s="309" t="s">
        <v>147</v>
      </c>
      <c r="B54" s="313" t="s">
        <v>316</v>
      </c>
      <c r="C54" s="299" t="s">
        <v>289</v>
      </c>
      <c r="D54" s="317" t="str">
        <f t="shared" si="0"/>
        <v>NA</v>
      </c>
      <c r="E54" s="317" t="str">
        <f t="shared" si="1"/>
        <v>NA</v>
      </c>
      <c r="F54" s="317" t="str">
        <f t="shared" si="2"/>
        <v>NA</v>
      </c>
      <c r="G54" s="317" t="str">
        <f t="shared" si="3"/>
        <v>NA</v>
      </c>
      <c r="H54" s="317"/>
      <c r="I54" s="317" t="str">
        <f t="shared" si="7"/>
        <v>Keith Scott</v>
      </c>
      <c r="J54" s="317" t="str">
        <f t="shared" si="4"/>
        <v>NA</v>
      </c>
      <c r="K54" s="317" t="str">
        <f t="shared" si="5"/>
        <v>Kathy Wesolowski</v>
      </c>
      <c r="L54" s="317" t="str">
        <f t="shared" si="6"/>
        <v>NA</v>
      </c>
      <c r="M54" s="317"/>
      <c r="N54" s="317" t="s">
        <v>1491</v>
      </c>
      <c r="O54" s="285" t="s">
        <v>317</v>
      </c>
      <c r="P54" s="304" t="s">
        <v>311</v>
      </c>
      <c r="Q54" s="290" t="s">
        <v>318</v>
      </c>
      <c r="R54" s="296" t="s">
        <v>319</v>
      </c>
      <c r="S54" s="297" t="s">
        <v>131</v>
      </c>
      <c r="T54" s="297">
        <v>60559</v>
      </c>
      <c r="U54" s="283">
        <v>13347</v>
      </c>
      <c r="V54" s="283" t="s">
        <v>320</v>
      </c>
      <c r="W54" s="262" t="s">
        <v>321</v>
      </c>
    </row>
    <row r="55" spans="1:23">
      <c r="A55" s="309" t="s">
        <v>5</v>
      </c>
      <c r="B55" s="313" t="s">
        <v>291</v>
      </c>
      <c r="C55" s="299" t="s">
        <v>289</v>
      </c>
      <c r="D55" s="317" t="str">
        <f t="shared" si="0"/>
        <v>NA</v>
      </c>
      <c r="E55" s="317" t="str">
        <f t="shared" si="1"/>
        <v>NA</v>
      </c>
      <c r="F55" s="317" t="str">
        <f t="shared" si="2"/>
        <v>NA</v>
      </c>
      <c r="G55" s="317" t="str">
        <f t="shared" si="3"/>
        <v>NA</v>
      </c>
      <c r="H55" s="317"/>
      <c r="I55" s="317" t="str">
        <f t="shared" si="7"/>
        <v>Keith Scott</v>
      </c>
      <c r="J55" s="317" t="str">
        <f t="shared" si="4"/>
        <v>NA</v>
      </c>
      <c r="K55" s="317" t="str">
        <f t="shared" si="5"/>
        <v>NA</v>
      </c>
      <c r="L55" s="317" t="str">
        <f t="shared" si="6"/>
        <v>Nate Prehm</v>
      </c>
      <c r="M55" s="317"/>
      <c r="N55" s="317" t="s">
        <v>1491</v>
      </c>
      <c r="O55" s="285" t="s">
        <v>322</v>
      </c>
      <c r="P55" s="304"/>
      <c r="Q55" s="290" t="s">
        <v>323</v>
      </c>
      <c r="R55" s="296" t="s">
        <v>324</v>
      </c>
      <c r="S55" s="297" t="s">
        <v>294</v>
      </c>
      <c r="T55" s="297">
        <v>50643</v>
      </c>
      <c r="U55" s="283"/>
      <c r="V55" s="283" t="s">
        <v>325</v>
      </c>
      <c r="W55" s="270" t="s">
        <v>326</v>
      </c>
    </row>
    <row r="56" spans="1:23">
      <c r="A56" s="309" t="s">
        <v>5</v>
      </c>
      <c r="B56" s="316" t="s">
        <v>311</v>
      </c>
      <c r="C56" s="300" t="s">
        <v>289</v>
      </c>
      <c r="D56" s="317" t="str">
        <f t="shared" si="0"/>
        <v>NA</v>
      </c>
      <c r="E56" s="317" t="str">
        <f t="shared" si="1"/>
        <v>NA</v>
      </c>
      <c r="F56" s="317" t="str">
        <f t="shared" si="2"/>
        <v>NA</v>
      </c>
      <c r="G56" s="317" t="str">
        <f t="shared" si="3"/>
        <v>NA</v>
      </c>
      <c r="H56" s="317"/>
      <c r="I56" s="317" t="str">
        <f t="shared" si="7"/>
        <v>Keith Scott</v>
      </c>
      <c r="J56" s="317" t="str">
        <f t="shared" si="4"/>
        <v>NA</v>
      </c>
      <c r="K56" s="317" t="str">
        <f t="shared" si="5"/>
        <v>NA</v>
      </c>
      <c r="L56" s="317" t="str">
        <f t="shared" si="6"/>
        <v>Brian Stanislavski</v>
      </c>
      <c r="M56" s="317"/>
      <c r="N56" s="317" t="s">
        <v>1491</v>
      </c>
      <c r="O56" s="285" t="s">
        <v>327</v>
      </c>
      <c r="P56" s="287"/>
      <c r="Q56" s="290" t="s">
        <v>328</v>
      </c>
      <c r="R56" s="290" t="s">
        <v>329</v>
      </c>
      <c r="S56" s="305" t="s">
        <v>330</v>
      </c>
      <c r="T56" s="305">
        <v>46373</v>
      </c>
      <c r="U56" s="283">
        <v>134679</v>
      </c>
      <c r="V56" s="283" t="s">
        <v>331</v>
      </c>
      <c r="W56" s="268" t="s">
        <v>332</v>
      </c>
    </row>
    <row r="57" spans="1:23">
      <c r="A57" s="310" t="s">
        <v>333</v>
      </c>
      <c r="B57" s="314" t="s">
        <v>334</v>
      </c>
      <c r="C57" s="318" t="s">
        <v>335</v>
      </c>
      <c r="D57" s="317" t="str">
        <f t="shared" si="0"/>
        <v>NA</v>
      </c>
      <c r="E57" s="317" t="str">
        <f t="shared" si="1"/>
        <v>NA</v>
      </c>
      <c r="F57" s="317" t="str">
        <f t="shared" si="2"/>
        <v>NA</v>
      </c>
      <c r="G57" s="317" t="str">
        <f t="shared" si="3"/>
        <v>NA</v>
      </c>
      <c r="H57" s="317"/>
      <c r="I57" s="317" t="str">
        <f t="shared" si="7"/>
        <v>Keith Scott</v>
      </c>
      <c r="J57" s="317" t="str">
        <f t="shared" si="4"/>
        <v>NA</v>
      </c>
      <c r="K57" s="317" t="str">
        <f t="shared" si="5"/>
        <v>NA</v>
      </c>
      <c r="L57" s="317" t="str">
        <f t="shared" si="6"/>
        <v>NA</v>
      </c>
      <c r="M57" s="317"/>
      <c r="N57" s="317" t="s">
        <v>1491</v>
      </c>
      <c r="O57" s="245"/>
      <c r="P57" s="244"/>
      <c r="Q57" s="246" t="s">
        <v>336</v>
      </c>
      <c r="R57" s="247" t="s">
        <v>337</v>
      </c>
      <c r="S57" s="244" t="s">
        <v>32</v>
      </c>
      <c r="T57" s="244">
        <v>67215</v>
      </c>
      <c r="U57" s="248">
        <v>25053</v>
      </c>
      <c r="V57" s="248" t="s">
        <v>338</v>
      </c>
      <c r="W57" s="268" t="s">
        <v>339</v>
      </c>
    </row>
    <row r="58" spans="1:23">
      <c r="A58" s="310" t="s">
        <v>126</v>
      </c>
      <c r="B58" s="314" t="s">
        <v>340</v>
      </c>
      <c r="C58" s="318" t="s">
        <v>341</v>
      </c>
      <c r="D58" s="317" t="str">
        <f t="shared" si="0"/>
        <v>NA</v>
      </c>
      <c r="E58" s="317" t="str">
        <f t="shared" si="1"/>
        <v>NA</v>
      </c>
      <c r="F58" s="317" t="str">
        <f t="shared" si="2"/>
        <v>NA</v>
      </c>
      <c r="G58" s="317" t="str">
        <f t="shared" si="3"/>
        <v>NA</v>
      </c>
      <c r="H58" s="317"/>
      <c r="I58" s="317" t="str">
        <f t="shared" si="7"/>
        <v>Keith Scott</v>
      </c>
      <c r="J58" s="317" t="str">
        <f t="shared" si="4"/>
        <v>Matt Bretches</v>
      </c>
      <c r="K58" s="317" t="str">
        <f t="shared" si="5"/>
        <v>NA</v>
      </c>
      <c r="L58" s="317" t="str">
        <f t="shared" si="6"/>
        <v>NA</v>
      </c>
      <c r="M58" s="317"/>
      <c r="N58" s="317" t="s">
        <v>1491</v>
      </c>
      <c r="O58" s="245"/>
      <c r="P58" s="244"/>
      <c r="Q58" s="246" t="s">
        <v>342</v>
      </c>
      <c r="R58" s="247" t="s">
        <v>337</v>
      </c>
      <c r="S58" s="244" t="s">
        <v>32</v>
      </c>
      <c r="T58" s="244">
        <v>67212</v>
      </c>
      <c r="U58" s="248">
        <v>13367</v>
      </c>
      <c r="V58" s="248" t="s">
        <v>343</v>
      </c>
      <c r="W58" s="268" t="s">
        <v>344</v>
      </c>
    </row>
    <row r="59" spans="1:23">
      <c r="A59" s="310" t="s">
        <v>135</v>
      </c>
      <c r="B59" s="314" t="s">
        <v>286</v>
      </c>
      <c r="C59" s="318" t="s">
        <v>345</v>
      </c>
      <c r="D59" s="317" t="str">
        <f t="shared" si="0"/>
        <v>Paul Schuh</v>
      </c>
      <c r="E59" s="317" t="str">
        <f t="shared" si="1"/>
        <v>NA</v>
      </c>
      <c r="F59" s="317" t="str">
        <f t="shared" si="2"/>
        <v>NA</v>
      </c>
      <c r="G59" s="317" t="str">
        <f t="shared" si="3"/>
        <v>NA</v>
      </c>
      <c r="H59" s="317"/>
      <c r="I59" s="317" t="str">
        <f t="shared" si="7"/>
        <v>Keith Scott</v>
      </c>
      <c r="J59" s="317" t="str">
        <f t="shared" si="4"/>
        <v>NA</v>
      </c>
      <c r="K59" s="317" t="str">
        <f t="shared" si="5"/>
        <v>NA</v>
      </c>
      <c r="L59" s="317" t="str">
        <f t="shared" si="6"/>
        <v>NA</v>
      </c>
      <c r="M59" s="317"/>
      <c r="N59" s="317" t="s">
        <v>1491</v>
      </c>
      <c r="O59" s="245"/>
      <c r="P59" s="244"/>
      <c r="Q59" s="246"/>
      <c r="R59" s="247"/>
      <c r="S59" s="244"/>
      <c r="T59" s="244"/>
      <c r="U59" s="248"/>
      <c r="V59" s="248"/>
      <c r="W59" s="262" t="s">
        <v>287</v>
      </c>
    </row>
    <row r="60" spans="1:23">
      <c r="A60" s="309" t="s">
        <v>147</v>
      </c>
      <c r="B60" s="313" t="s">
        <v>36</v>
      </c>
      <c r="C60" s="300" t="s">
        <v>345</v>
      </c>
      <c r="D60" s="317" t="str">
        <f t="shared" si="0"/>
        <v>NA</v>
      </c>
      <c r="E60" s="317" t="str">
        <f t="shared" si="1"/>
        <v>NA</v>
      </c>
      <c r="F60" s="317" t="str">
        <f t="shared" si="2"/>
        <v>NA</v>
      </c>
      <c r="G60" s="317" t="str">
        <f t="shared" si="3"/>
        <v>NA</v>
      </c>
      <c r="H60" s="317"/>
      <c r="I60" s="317" t="str">
        <f t="shared" si="7"/>
        <v>Keith Scott</v>
      </c>
      <c r="J60" s="317" t="str">
        <f t="shared" si="4"/>
        <v>NA</v>
      </c>
      <c r="K60" s="317" t="str">
        <f t="shared" si="5"/>
        <v>OPEN POSITION</v>
      </c>
      <c r="L60" s="317" t="str">
        <f t="shared" si="6"/>
        <v>NA</v>
      </c>
      <c r="M60" s="317"/>
      <c r="N60" s="317" t="s">
        <v>1491</v>
      </c>
      <c r="O60" s="285" t="s">
        <v>346</v>
      </c>
      <c r="P60" s="287" t="s">
        <v>347</v>
      </c>
      <c r="Q60" s="290"/>
      <c r="R60" s="296"/>
      <c r="S60" s="297"/>
      <c r="T60" s="297"/>
      <c r="U60" s="283"/>
      <c r="V60" s="283"/>
      <c r="W60" s="262"/>
    </row>
    <row r="61" spans="1:23">
      <c r="A61" s="309" t="s">
        <v>147</v>
      </c>
      <c r="B61" s="313" t="s">
        <v>348</v>
      </c>
      <c r="C61" s="300" t="s">
        <v>345</v>
      </c>
      <c r="D61" s="317" t="str">
        <f t="shared" si="0"/>
        <v>NA</v>
      </c>
      <c r="E61" s="317" t="str">
        <f t="shared" si="1"/>
        <v>NA</v>
      </c>
      <c r="F61" s="317" t="str">
        <f t="shared" si="2"/>
        <v>NA</v>
      </c>
      <c r="G61" s="317" t="str">
        <f t="shared" si="3"/>
        <v>NA</v>
      </c>
      <c r="H61" s="317"/>
      <c r="I61" s="317" t="str">
        <f t="shared" si="7"/>
        <v>Keith Scott</v>
      </c>
      <c r="J61" s="317" t="str">
        <f t="shared" si="4"/>
        <v>NA</v>
      </c>
      <c r="K61" s="317" t="str">
        <f t="shared" si="5"/>
        <v>Allan McGill</v>
      </c>
      <c r="L61" s="317" t="str">
        <f t="shared" si="6"/>
        <v>NA</v>
      </c>
      <c r="M61" s="317"/>
      <c r="N61" s="317" t="s">
        <v>1491</v>
      </c>
      <c r="O61" s="285" t="s">
        <v>349</v>
      </c>
      <c r="P61" s="287" t="s">
        <v>347</v>
      </c>
      <c r="Q61" s="290" t="s">
        <v>350</v>
      </c>
      <c r="R61" s="296" t="s">
        <v>351</v>
      </c>
      <c r="S61" s="297" t="s">
        <v>50</v>
      </c>
      <c r="T61" s="297">
        <v>68526</v>
      </c>
      <c r="U61" s="283"/>
      <c r="V61" s="283" t="s">
        <v>352</v>
      </c>
      <c r="W61" s="268" t="s">
        <v>353</v>
      </c>
    </row>
    <row r="62" spans="1:23">
      <c r="A62" s="309" t="s">
        <v>147</v>
      </c>
      <c r="B62" s="313" t="s">
        <v>354</v>
      </c>
      <c r="C62" s="300" t="s">
        <v>345</v>
      </c>
      <c r="D62" s="317" t="str">
        <f t="shared" si="0"/>
        <v>NA</v>
      </c>
      <c r="E62" s="317" t="str">
        <f t="shared" si="1"/>
        <v>NA</v>
      </c>
      <c r="F62" s="317" t="str">
        <f t="shared" si="2"/>
        <v>NA</v>
      </c>
      <c r="G62" s="317" t="str">
        <f t="shared" si="3"/>
        <v>NA</v>
      </c>
      <c r="H62" s="317"/>
      <c r="I62" s="317" t="str">
        <f t="shared" si="7"/>
        <v>Keith Scott</v>
      </c>
      <c r="J62" s="317" t="str">
        <f t="shared" si="4"/>
        <v>NA</v>
      </c>
      <c r="K62" s="317" t="str">
        <f t="shared" si="5"/>
        <v>Nick Cunningham</v>
      </c>
      <c r="L62" s="317" t="str">
        <f t="shared" si="6"/>
        <v>NA</v>
      </c>
      <c r="M62" s="317"/>
      <c r="N62" s="317" t="s">
        <v>1491</v>
      </c>
      <c r="O62" s="285" t="s">
        <v>355</v>
      </c>
      <c r="P62" s="287" t="s">
        <v>356</v>
      </c>
      <c r="Q62" s="290" t="s">
        <v>357</v>
      </c>
      <c r="R62" s="296" t="s">
        <v>358</v>
      </c>
      <c r="S62" s="287" t="s">
        <v>32</v>
      </c>
      <c r="T62" s="287">
        <v>67364</v>
      </c>
      <c r="U62" s="283" t="s">
        <v>359</v>
      </c>
      <c r="V62" s="283" t="s">
        <v>360</v>
      </c>
      <c r="W62" s="262" t="s">
        <v>361</v>
      </c>
    </row>
    <row r="63" spans="1:23">
      <c r="A63" s="309" t="s">
        <v>147</v>
      </c>
      <c r="B63" s="313" t="s">
        <v>36</v>
      </c>
      <c r="C63" s="300" t="s">
        <v>345</v>
      </c>
      <c r="D63" s="317" t="str">
        <f t="shared" si="0"/>
        <v>NA</v>
      </c>
      <c r="E63" s="317" t="str">
        <f t="shared" si="1"/>
        <v>NA</v>
      </c>
      <c r="F63" s="317" t="str">
        <f t="shared" si="2"/>
        <v>NA</v>
      </c>
      <c r="G63" s="317" t="str">
        <f t="shared" si="3"/>
        <v>NA</v>
      </c>
      <c r="H63" s="317"/>
      <c r="I63" s="317" t="str">
        <f t="shared" si="7"/>
        <v>Keith Scott</v>
      </c>
      <c r="J63" s="317" t="str">
        <f t="shared" si="4"/>
        <v>NA</v>
      </c>
      <c r="K63" s="317" t="str">
        <f t="shared" si="5"/>
        <v>OPEN POSITION</v>
      </c>
      <c r="L63" s="317" t="str">
        <f t="shared" si="6"/>
        <v>NA</v>
      </c>
      <c r="M63" s="317"/>
      <c r="N63" s="317" t="s">
        <v>1491</v>
      </c>
      <c r="O63" s="285" t="s">
        <v>362</v>
      </c>
      <c r="P63" s="287" t="s">
        <v>347</v>
      </c>
      <c r="Q63" s="290"/>
      <c r="R63" s="290"/>
      <c r="S63" s="287"/>
      <c r="T63" s="287"/>
      <c r="U63" s="283"/>
      <c r="V63" s="283"/>
      <c r="W63" s="262"/>
    </row>
    <row r="64" spans="1:23">
      <c r="A64" s="309" t="s">
        <v>5</v>
      </c>
      <c r="B64" s="313" t="s">
        <v>347</v>
      </c>
      <c r="C64" s="300" t="s">
        <v>345</v>
      </c>
      <c r="D64" s="317" t="str">
        <f t="shared" si="0"/>
        <v>NA</v>
      </c>
      <c r="E64" s="317" t="str">
        <f t="shared" si="1"/>
        <v>NA</v>
      </c>
      <c r="F64" s="317" t="str">
        <f t="shared" si="2"/>
        <v>NA</v>
      </c>
      <c r="G64" s="317" t="str">
        <f t="shared" si="3"/>
        <v>NA</v>
      </c>
      <c r="H64" s="317"/>
      <c r="I64" s="317" t="str">
        <f t="shared" si="7"/>
        <v>Keith Scott</v>
      </c>
      <c r="J64" s="317" t="str">
        <f t="shared" si="4"/>
        <v>NA</v>
      </c>
      <c r="K64" s="317" t="str">
        <f t="shared" si="5"/>
        <v>NA</v>
      </c>
      <c r="L64" s="317" t="str">
        <f t="shared" si="6"/>
        <v>Eric Bond</v>
      </c>
      <c r="M64" s="317"/>
      <c r="N64" s="317" t="s">
        <v>1491</v>
      </c>
      <c r="O64" s="285" t="s">
        <v>363</v>
      </c>
      <c r="P64" s="287"/>
      <c r="Q64" s="290" t="s">
        <v>364</v>
      </c>
      <c r="R64" s="296" t="s">
        <v>365</v>
      </c>
      <c r="S64" s="297" t="s">
        <v>50</v>
      </c>
      <c r="T64" s="297">
        <v>68372</v>
      </c>
      <c r="U64" s="283"/>
      <c r="V64" s="283" t="s">
        <v>366</v>
      </c>
      <c r="W64" s="262" t="s">
        <v>367</v>
      </c>
    </row>
    <row r="65" spans="1:23">
      <c r="A65" s="310" t="s">
        <v>333</v>
      </c>
      <c r="B65" s="314" t="s">
        <v>334</v>
      </c>
      <c r="C65" s="318" t="s">
        <v>335</v>
      </c>
      <c r="D65" s="317" t="str">
        <f t="shared" si="0"/>
        <v>NA</v>
      </c>
      <c r="E65" s="317" t="str">
        <f t="shared" si="1"/>
        <v>NA</v>
      </c>
      <c r="F65" s="317" t="str">
        <f t="shared" si="2"/>
        <v>NA</v>
      </c>
      <c r="G65" s="317" t="str">
        <f t="shared" si="3"/>
        <v>NA</v>
      </c>
      <c r="H65" s="317"/>
      <c r="I65" s="317" t="str">
        <f t="shared" si="7"/>
        <v>Keith Scott</v>
      </c>
      <c r="J65" s="317" t="str">
        <f t="shared" si="4"/>
        <v>NA</v>
      </c>
      <c r="K65" s="317" t="str">
        <f t="shared" si="5"/>
        <v>NA</v>
      </c>
      <c r="L65" s="317" t="str">
        <f t="shared" si="6"/>
        <v>NA</v>
      </c>
      <c r="M65" s="317"/>
      <c r="N65" s="317" t="s">
        <v>1491</v>
      </c>
      <c r="O65" s="245"/>
      <c r="P65" s="244"/>
      <c r="Q65" s="246" t="s">
        <v>368</v>
      </c>
      <c r="R65" s="247" t="s">
        <v>337</v>
      </c>
      <c r="S65" s="244" t="s">
        <v>32</v>
      </c>
      <c r="T65" s="244">
        <v>67144</v>
      </c>
      <c r="U65" s="248">
        <v>25053</v>
      </c>
      <c r="V65" s="248" t="s">
        <v>338</v>
      </c>
      <c r="W65" s="268" t="s">
        <v>339</v>
      </c>
    </row>
    <row r="66" spans="1:23">
      <c r="A66" s="310" t="s">
        <v>126</v>
      </c>
      <c r="B66" s="314" t="s">
        <v>369</v>
      </c>
      <c r="C66" s="318" t="s">
        <v>370</v>
      </c>
      <c r="D66" s="317" t="str">
        <f t="shared" si="0"/>
        <v>NA</v>
      </c>
      <c r="E66" s="317" t="str">
        <f t="shared" si="1"/>
        <v>NA</v>
      </c>
      <c r="F66" s="317" t="str">
        <f t="shared" si="2"/>
        <v>NA</v>
      </c>
      <c r="G66" s="317" t="str">
        <f t="shared" si="3"/>
        <v>NA</v>
      </c>
      <c r="H66" s="317"/>
      <c r="I66" s="317" t="str">
        <f t="shared" si="7"/>
        <v>Keith Scott</v>
      </c>
      <c r="J66" s="317" t="str">
        <f t="shared" si="4"/>
        <v>Greg Wilcox</v>
      </c>
      <c r="K66" s="317" t="str">
        <f t="shared" si="5"/>
        <v>NA</v>
      </c>
      <c r="L66" s="317" t="str">
        <f t="shared" si="6"/>
        <v>NA</v>
      </c>
      <c r="M66" s="317"/>
      <c r="N66" s="317" t="s">
        <v>1491</v>
      </c>
      <c r="O66" s="245"/>
      <c r="P66" s="244"/>
      <c r="Q66" s="246" t="s">
        <v>371</v>
      </c>
      <c r="R66" s="247" t="s">
        <v>372</v>
      </c>
      <c r="S66" s="244" t="s">
        <v>373</v>
      </c>
      <c r="T66" s="244">
        <v>63401</v>
      </c>
      <c r="U66" s="248"/>
      <c r="V66" s="248" t="s">
        <v>374</v>
      </c>
      <c r="W66" s="268" t="s">
        <v>375</v>
      </c>
    </row>
    <row r="67" spans="1:23">
      <c r="A67" s="310" t="s">
        <v>135</v>
      </c>
      <c r="B67" s="314" t="s">
        <v>286</v>
      </c>
      <c r="C67" s="318" t="s">
        <v>345</v>
      </c>
      <c r="D67" s="317" t="str">
        <f t="shared" ref="D67:D130" si="8">IF(A67="Regional Business Partner",B67,"NA")</f>
        <v>Paul Schuh</v>
      </c>
      <c r="E67" s="317" t="str">
        <f t="shared" ref="E67:E130" si="9">IF(A67="National Accounts Manager",B67,"NA")</f>
        <v>NA</v>
      </c>
      <c r="F67" s="317" t="str">
        <f t="shared" ref="F67:F130" si="10">IF(A67="Waudena Territory Manager",B67,"NA")</f>
        <v>NA</v>
      </c>
      <c r="G67" s="317" t="str">
        <f t="shared" ref="G67:G130" si="11">IF(A67="Director of Sales",B67,"NA")</f>
        <v>NA</v>
      </c>
      <c r="H67" s="317"/>
      <c r="I67" s="317" t="str">
        <f t="shared" si="7"/>
        <v>Keith Scott</v>
      </c>
      <c r="J67" s="317" t="str">
        <f t="shared" ref="J67:J130" si="12">IF(A67="Regional Manager",B67,"NA")</f>
        <v>NA</v>
      </c>
      <c r="K67" s="317" t="str">
        <f t="shared" ref="K67:K130" si="13">IF(A67="Territory Manager",B67,"NA")</f>
        <v>NA</v>
      </c>
      <c r="L67" s="317" t="str">
        <f t="shared" ref="L67:L130" si="14">IF(A67="Siding Specialist",B67,"NA")</f>
        <v>NA</v>
      </c>
      <c r="M67" s="317"/>
      <c r="N67" s="317" t="s">
        <v>1491</v>
      </c>
      <c r="O67" s="245"/>
      <c r="P67" s="244"/>
      <c r="Q67" s="246"/>
      <c r="R67" s="247"/>
      <c r="S67" s="244"/>
      <c r="T67" s="244"/>
      <c r="U67" s="248"/>
      <c r="V67" s="248"/>
      <c r="W67" s="262" t="s">
        <v>287</v>
      </c>
    </row>
    <row r="68" spans="1:23">
      <c r="A68" s="309" t="s">
        <v>147</v>
      </c>
      <c r="B68" s="313" t="s">
        <v>376</v>
      </c>
      <c r="C68" s="300" t="s">
        <v>345</v>
      </c>
      <c r="D68" s="317" t="str">
        <f t="shared" si="8"/>
        <v>NA</v>
      </c>
      <c r="E68" s="317" t="str">
        <f t="shared" si="9"/>
        <v>NA</v>
      </c>
      <c r="F68" s="317" t="str">
        <f t="shared" si="10"/>
        <v>NA</v>
      </c>
      <c r="G68" s="317" t="str">
        <f t="shared" si="11"/>
        <v>NA</v>
      </c>
      <c r="H68" s="317"/>
      <c r="I68" s="317" t="str">
        <f t="shared" si="7"/>
        <v>Keith Scott</v>
      </c>
      <c r="J68" s="317" t="str">
        <f t="shared" si="12"/>
        <v>NA</v>
      </c>
      <c r="K68" s="317" t="str">
        <f t="shared" si="13"/>
        <v>Betty Jester</v>
      </c>
      <c r="L68" s="317" t="str">
        <f t="shared" si="14"/>
        <v>NA</v>
      </c>
      <c r="M68" s="317"/>
      <c r="N68" s="317" t="s">
        <v>1491</v>
      </c>
      <c r="O68" s="285" t="s">
        <v>377</v>
      </c>
      <c r="P68" s="287" t="s">
        <v>369</v>
      </c>
      <c r="Q68" s="290" t="s">
        <v>378</v>
      </c>
      <c r="R68" s="296" t="s">
        <v>379</v>
      </c>
      <c r="S68" s="297" t="s">
        <v>373</v>
      </c>
      <c r="T68" s="297">
        <v>65706</v>
      </c>
      <c r="U68" s="283"/>
      <c r="V68" s="283" t="s">
        <v>380</v>
      </c>
      <c r="W68" s="268" t="s">
        <v>381</v>
      </c>
    </row>
    <row r="69" spans="1:23">
      <c r="A69" s="309" t="s">
        <v>147</v>
      </c>
      <c r="B69" s="313" t="s">
        <v>382</v>
      </c>
      <c r="C69" s="300" t="s">
        <v>345</v>
      </c>
      <c r="D69" s="317" t="str">
        <f t="shared" si="8"/>
        <v>NA</v>
      </c>
      <c r="E69" s="317" t="str">
        <f t="shared" si="9"/>
        <v>NA</v>
      </c>
      <c r="F69" s="317" t="str">
        <f t="shared" si="10"/>
        <v>NA</v>
      </c>
      <c r="G69" s="317" t="str">
        <f t="shared" si="11"/>
        <v>NA</v>
      </c>
      <c r="H69" s="317"/>
      <c r="I69" s="317" t="str">
        <f t="shared" si="7"/>
        <v>Keith Scott</v>
      </c>
      <c r="J69" s="317" t="str">
        <f t="shared" si="12"/>
        <v>NA</v>
      </c>
      <c r="K69" s="317" t="str">
        <f t="shared" si="13"/>
        <v>Jon Strini</v>
      </c>
      <c r="L69" s="317" t="str">
        <f t="shared" si="14"/>
        <v>NA</v>
      </c>
      <c r="M69" s="317"/>
      <c r="N69" s="317" t="s">
        <v>1491</v>
      </c>
      <c r="O69" s="285" t="s">
        <v>383</v>
      </c>
      <c r="P69" s="287" t="s">
        <v>369</v>
      </c>
      <c r="Q69" s="290" t="s">
        <v>384</v>
      </c>
      <c r="R69" s="296" t="s">
        <v>385</v>
      </c>
      <c r="S69" s="305" t="s">
        <v>373</v>
      </c>
      <c r="T69" s="305">
        <v>63366</v>
      </c>
      <c r="U69" s="283"/>
      <c r="V69" s="283" t="s">
        <v>374</v>
      </c>
      <c r="W69" s="262" t="s">
        <v>386</v>
      </c>
    </row>
    <row r="70" spans="1:23">
      <c r="A70" s="309" t="s">
        <v>147</v>
      </c>
      <c r="B70" s="313" t="s">
        <v>387</v>
      </c>
      <c r="C70" s="300" t="s">
        <v>345</v>
      </c>
      <c r="D70" s="317" t="str">
        <f t="shared" si="8"/>
        <v>NA</v>
      </c>
      <c r="E70" s="317" t="str">
        <f t="shared" si="9"/>
        <v>NA</v>
      </c>
      <c r="F70" s="317" t="str">
        <f t="shared" si="10"/>
        <v>NA</v>
      </c>
      <c r="G70" s="317" t="str">
        <f t="shared" si="11"/>
        <v>NA</v>
      </c>
      <c r="H70" s="317"/>
      <c r="I70" s="317" t="str">
        <f t="shared" si="7"/>
        <v>Keith Scott</v>
      </c>
      <c r="J70" s="317" t="str">
        <f t="shared" si="12"/>
        <v>NA</v>
      </c>
      <c r="K70" s="317" t="str">
        <f t="shared" si="13"/>
        <v>Jason Kell</v>
      </c>
      <c r="L70" s="317" t="str">
        <f t="shared" si="14"/>
        <v>NA</v>
      </c>
      <c r="M70" s="317"/>
      <c r="N70" s="317" t="s">
        <v>1491</v>
      </c>
      <c r="O70" s="285" t="s">
        <v>388</v>
      </c>
      <c r="P70" s="287" t="s">
        <v>369</v>
      </c>
      <c r="Q70" s="282" t="s">
        <v>389</v>
      </c>
      <c r="R70" s="290" t="s">
        <v>390</v>
      </c>
      <c r="S70" s="297" t="s">
        <v>131</v>
      </c>
      <c r="T70" s="297">
        <v>62249</v>
      </c>
      <c r="U70" s="283">
        <v>25069</v>
      </c>
      <c r="V70" s="283" t="s">
        <v>391</v>
      </c>
      <c r="W70" s="262" t="s">
        <v>392</v>
      </c>
    </row>
    <row r="71" spans="1:23">
      <c r="A71" s="309" t="s">
        <v>147</v>
      </c>
      <c r="B71" s="313" t="s">
        <v>393</v>
      </c>
      <c r="C71" s="300" t="s">
        <v>345</v>
      </c>
      <c r="D71" s="317" t="str">
        <f t="shared" si="8"/>
        <v>NA</v>
      </c>
      <c r="E71" s="317" t="str">
        <f t="shared" si="9"/>
        <v>NA</v>
      </c>
      <c r="F71" s="317" t="str">
        <f t="shared" si="10"/>
        <v>NA</v>
      </c>
      <c r="G71" s="317" t="str">
        <f t="shared" si="11"/>
        <v>NA</v>
      </c>
      <c r="H71" s="317"/>
      <c r="I71" s="317" t="str">
        <f t="shared" si="7"/>
        <v>Keith Scott</v>
      </c>
      <c r="J71" s="317" t="str">
        <f t="shared" si="12"/>
        <v>NA</v>
      </c>
      <c r="K71" s="317" t="str">
        <f t="shared" si="13"/>
        <v>Andrew Corey</v>
      </c>
      <c r="L71" s="317" t="str">
        <f t="shared" si="14"/>
        <v>NA</v>
      </c>
      <c r="M71" s="317"/>
      <c r="N71" s="317" t="s">
        <v>1491</v>
      </c>
      <c r="O71" s="285" t="s">
        <v>394</v>
      </c>
      <c r="P71" s="287" t="s">
        <v>356</v>
      </c>
      <c r="Q71" s="290" t="s">
        <v>395</v>
      </c>
      <c r="R71" s="296" t="s">
        <v>396</v>
      </c>
      <c r="S71" s="305" t="s">
        <v>373</v>
      </c>
      <c r="T71" s="305">
        <v>65626</v>
      </c>
      <c r="U71" s="283">
        <v>12366</v>
      </c>
      <c r="V71" s="283" t="s">
        <v>397</v>
      </c>
      <c r="W71" s="262" t="s">
        <v>398</v>
      </c>
    </row>
    <row r="72" spans="1:23">
      <c r="A72" s="309" t="s">
        <v>147</v>
      </c>
      <c r="B72" s="313" t="s">
        <v>399</v>
      </c>
      <c r="C72" s="300" t="s">
        <v>345</v>
      </c>
      <c r="D72" s="317" t="str">
        <f t="shared" si="8"/>
        <v>NA</v>
      </c>
      <c r="E72" s="317" t="str">
        <f t="shared" si="9"/>
        <v>NA</v>
      </c>
      <c r="F72" s="317" t="str">
        <f t="shared" si="10"/>
        <v>NA</v>
      </c>
      <c r="G72" s="317" t="str">
        <f t="shared" si="11"/>
        <v>NA</v>
      </c>
      <c r="H72" s="317"/>
      <c r="I72" s="317" t="str">
        <f t="shared" si="7"/>
        <v>Keith Scott</v>
      </c>
      <c r="J72" s="317" t="str">
        <f t="shared" si="12"/>
        <v>NA</v>
      </c>
      <c r="K72" s="317" t="str">
        <f t="shared" si="13"/>
        <v>Carson Jenkins</v>
      </c>
      <c r="L72" s="317" t="str">
        <f t="shared" si="14"/>
        <v>NA</v>
      </c>
      <c r="M72" s="317"/>
      <c r="N72" s="317" t="s">
        <v>1491</v>
      </c>
      <c r="O72" s="285" t="s">
        <v>400</v>
      </c>
      <c r="P72" s="287" t="s">
        <v>356</v>
      </c>
      <c r="Q72" s="290" t="s">
        <v>401</v>
      </c>
      <c r="R72" s="296" t="s">
        <v>402</v>
      </c>
      <c r="S72" s="305" t="s">
        <v>403</v>
      </c>
      <c r="T72" s="305">
        <v>72601</v>
      </c>
      <c r="U72" s="283"/>
      <c r="V72" s="283" t="s">
        <v>404</v>
      </c>
      <c r="W72" s="268" t="s">
        <v>405</v>
      </c>
    </row>
    <row r="73" spans="1:23">
      <c r="A73" s="309" t="s">
        <v>5</v>
      </c>
      <c r="B73" s="313" t="s">
        <v>36</v>
      </c>
      <c r="C73" s="300" t="s">
        <v>345</v>
      </c>
      <c r="D73" s="317" t="str">
        <f t="shared" si="8"/>
        <v>NA</v>
      </c>
      <c r="E73" s="317" t="str">
        <f t="shared" si="9"/>
        <v>NA</v>
      </c>
      <c r="F73" s="317" t="str">
        <f t="shared" si="10"/>
        <v>NA</v>
      </c>
      <c r="G73" s="317" t="str">
        <f t="shared" si="11"/>
        <v>NA</v>
      </c>
      <c r="H73" s="317"/>
      <c r="I73" s="317" t="str">
        <f t="shared" si="7"/>
        <v>Keith Scott</v>
      </c>
      <c r="J73" s="317" t="str">
        <f t="shared" si="12"/>
        <v>NA</v>
      </c>
      <c r="K73" s="317" t="str">
        <f t="shared" si="13"/>
        <v>NA</v>
      </c>
      <c r="L73" s="317" t="str">
        <f t="shared" si="14"/>
        <v>OPEN POSITION</v>
      </c>
      <c r="M73" s="317"/>
      <c r="N73" s="317" t="s">
        <v>1491</v>
      </c>
      <c r="O73" s="285" t="s">
        <v>406</v>
      </c>
      <c r="Q73" s="290"/>
      <c r="R73" s="296"/>
      <c r="S73" s="297"/>
      <c r="T73" s="297"/>
      <c r="U73" s="283"/>
      <c r="V73" s="283"/>
      <c r="W73" s="262"/>
    </row>
    <row r="74" spans="1:23">
      <c r="A74" s="309" t="s">
        <v>5</v>
      </c>
      <c r="B74" s="313" t="s">
        <v>356</v>
      </c>
      <c r="C74" s="300" t="s">
        <v>345</v>
      </c>
      <c r="D74" s="317" t="str">
        <f t="shared" si="8"/>
        <v>NA</v>
      </c>
      <c r="E74" s="317" t="str">
        <f t="shared" si="9"/>
        <v>NA</v>
      </c>
      <c r="F74" s="317" t="str">
        <f t="shared" si="10"/>
        <v>NA</v>
      </c>
      <c r="G74" s="317" t="str">
        <f t="shared" si="11"/>
        <v>NA</v>
      </c>
      <c r="H74" s="317"/>
      <c r="I74" s="317" t="str">
        <f t="shared" si="7"/>
        <v>Keith Scott</v>
      </c>
      <c r="J74" s="317" t="str">
        <f t="shared" si="12"/>
        <v>NA</v>
      </c>
      <c r="K74" s="317" t="str">
        <f t="shared" si="13"/>
        <v>NA</v>
      </c>
      <c r="L74" s="317" t="str">
        <f t="shared" si="14"/>
        <v>Chad Jenkins</v>
      </c>
      <c r="M74" s="317"/>
      <c r="N74" s="317" t="s">
        <v>1491</v>
      </c>
      <c r="O74" s="285" t="s">
        <v>407</v>
      </c>
      <c r="Q74" s="282" t="s">
        <v>401</v>
      </c>
      <c r="R74" s="296" t="s">
        <v>402</v>
      </c>
      <c r="S74" s="297" t="s">
        <v>403</v>
      </c>
      <c r="T74" s="297">
        <v>72601</v>
      </c>
      <c r="U74" s="283">
        <v>19383</v>
      </c>
      <c r="V74" s="283" t="s">
        <v>408</v>
      </c>
      <c r="W74" s="262" t="s">
        <v>409</v>
      </c>
    </row>
    <row r="75" spans="1:23">
      <c r="A75" s="310" t="s">
        <v>126</v>
      </c>
      <c r="B75" s="314" t="s">
        <v>410</v>
      </c>
      <c r="C75" s="318" t="s">
        <v>411</v>
      </c>
      <c r="D75" s="317" t="str">
        <f t="shared" si="8"/>
        <v>NA</v>
      </c>
      <c r="E75" s="317" t="str">
        <f t="shared" si="9"/>
        <v>NA</v>
      </c>
      <c r="F75" s="317" t="str">
        <f t="shared" si="10"/>
        <v>NA</v>
      </c>
      <c r="G75" s="317" t="str">
        <f t="shared" si="11"/>
        <v>NA</v>
      </c>
      <c r="H75" s="317"/>
      <c r="I75" s="317" t="str">
        <f t="shared" si="7"/>
        <v>Keith Scott</v>
      </c>
      <c r="J75" s="317" t="str">
        <f t="shared" si="12"/>
        <v>Chris Buus</v>
      </c>
      <c r="K75" s="317" t="str">
        <f t="shared" si="13"/>
        <v>NA</v>
      </c>
      <c r="L75" s="317" t="str">
        <f t="shared" si="14"/>
        <v>NA</v>
      </c>
      <c r="M75" s="317"/>
      <c r="N75" s="317" t="s">
        <v>1491</v>
      </c>
      <c r="O75" s="245"/>
      <c r="P75" s="244"/>
      <c r="Q75" s="246" t="s">
        <v>412</v>
      </c>
      <c r="R75" s="247" t="s">
        <v>413</v>
      </c>
      <c r="S75" s="244" t="s">
        <v>259</v>
      </c>
      <c r="T75" s="244">
        <v>57006</v>
      </c>
      <c r="U75" s="248">
        <v>23007</v>
      </c>
      <c r="V75" s="248" t="s">
        <v>414</v>
      </c>
      <c r="W75" s="268" t="s">
        <v>415</v>
      </c>
    </row>
    <row r="76" spans="1:23">
      <c r="A76" s="310" t="s">
        <v>135</v>
      </c>
      <c r="B76" s="314" t="s">
        <v>416</v>
      </c>
      <c r="C76" s="318" t="s">
        <v>418</v>
      </c>
      <c r="D76" s="317" t="str">
        <f t="shared" si="8"/>
        <v>Jordan Plehal</v>
      </c>
      <c r="E76" s="317" t="str">
        <f t="shared" si="9"/>
        <v>NA</v>
      </c>
      <c r="F76" s="317" t="str">
        <f t="shared" si="10"/>
        <v>NA</v>
      </c>
      <c r="G76" s="317" t="str">
        <f t="shared" si="11"/>
        <v>NA</v>
      </c>
      <c r="H76" s="317"/>
      <c r="I76" s="317" t="str">
        <f t="shared" si="7"/>
        <v>Keith Scott</v>
      </c>
      <c r="J76" s="317" t="str">
        <f t="shared" si="12"/>
        <v>NA</v>
      </c>
      <c r="K76" s="317" t="str">
        <f t="shared" si="13"/>
        <v>NA</v>
      </c>
      <c r="L76" s="317" t="str">
        <f t="shared" si="14"/>
        <v>NA</v>
      </c>
      <c r="M76" s="317"/>
      <c r="N76" s="317" t="s">
        <v>1491</v>
      </c>
      <c r="O76" s="245" t="s">
        <v>359</v>
      </c>
      <c r="P76" s="244"/>
      <c r="Q76" s="246"/>
      <c r="R76" s="247"/>
      <c r="S76" s="244"/>
      <c r="T76" s="244"/>
      <c r="U76" s="248"/>
      <c r="V76" s="248"/>
      <c r="W76" s="268"/>
    </row>
    <row r="77" spans="1:23">
      <c r="A77" s="309" t="s">
        <v>147</v>
      </c>
      <c r="B77" s="313" t="s">
        <v>417</v>
      </c>
      <c r="C77" s="300" t="s">
        <v>418</v>
      </c>
      <c r="D77" s="317" t="str">
        <f t="shared" si="8"/>
        <v>NA</v>
      </c>
      <c r="E77" s="317" t="str">
        <f t="shared" si="9"/>
        <v>NA</v>
      </c>
      <c r="F77" s="317" t="str">
        <f t="shared" si="10"/>
        <v>NA</v>
      </c>
      <c r="G77" s="317" t="str">
        <f t="shared" si="11"/>
        <v>NA</v>
      </c>
      <c r="H77" s="317"/>
      <c r="I77" s="317" t="str">
        <f t="shared" si="7"/>
        <v>Keith Scott</v>
      </c>
      <c r="J77" s="317" t="str">
        <f t="shared" si="12"/>
        <v>NA</v>
      </c>
      <c r="K77" s="317" t="str">
        <f t="shared" si="13"/>
        <v xml:space="preserve">OPEN POSITION </v>
      </c>
      <c r="L77" s="317" t="str">
        <f t="shared" si="14"/>
        <v>NA</v>
      </c>
      <c r="M77" s="317"/>
      <c r="N77" s="317" t="s">
        <v>1491</v>
      </c>
      <c r="O77" s="285" t="s">
        <v>419</v>
      </c>
      <c r="P77" s="287" t="s">
        <v>420</v>
      </c>
      <c r="Q77" s="290"/>
      <c r="R77" s="296"/>
      <c r="S77" s="297"/>
      <c r="T77" s="297"/>
      <c r="U77" s="283"/>
      <c r="V77" s="283"/>
      <c r="W77" s="262"/>
    </row>
    <row r="78" spans="1:23">
      <c r="A78" s="309" t="s">
        <v>147</v>
      </c>
      <c r="B78" s="313" t="s">
        <v>421</v>
      </c>
      <c r="C78" s="300" t="s">
        <v>418</v>
      </c>
      <c r="D78" s="317" t="str">
        <f t="shared" si="8"/>
        <v>NA</v>
      </c>
      <c r="E78" s="317" t="str">
        <f t="shared" si="9"/>
        <v>NA</v>
      </c>
      <c r="F78" s="317" t="str">
        <f t="shared" si="10"/>
        <v>NA</v>
      </c>
      <c r="G78" s="317" t="str">
        <f t="shared" si="11"/>
        <v>NA</v>
      </c>
      <c r="H78" s="317"/>
      <c r="I78" s="317" t="str">
        <f t="shared" si="7"/>
        <v>Keith Scott</v>
      </c>
      <c r="J78" s="317" t="str">
        <f t="shared" si="12"/>
        <v>NA</v>
      </c>
      <c r="K78" s="317" t="str">
        <f t="shared" si="13"/>
        <v>Greg Hillesheim</v>
      </c>
      <c r="L78" s="317" t="str">
        <f t="shared" si="14"/>
        <v>NA</v>
      </c>
      <c r="M78" s="317"/>
      <c r="N78" s="317" t="s">
        <v>1491</v>
      </c>
      <c r="O78" s="285" t="s">
        <v>422</v>
      </c>
      <c r="P78" s="287" t="s">
        <v>423</v>
      </c>
      <c r="Q78" s="290" t="s">
        <v>424</v>
      </c>
      <c r="R78" s="296" t="s">
        <v>425</v>
      </c>
      <c r="S78" s="297" t="s">
        <v>73</v>
      </c>
      <c r="T78" s="297">
        <v>55020</v>
      </c>
      <c r="U78" s="283">
        <v>12120</v>
      </c>
      <c r="V78" s="283" t="s">
        <v>426</v>
      </c>
      <c r="W78" s="262" t="s">
        <v>427</v>
      </c>
    </row>
    <row r="79" spans="1:23">
      <c r="A79" s="309" t="s">
        <v>147</v>
      </c>
      <c r="B79" s="313" t="s">
        <v>428</v>
      </c>
      <c r="C79" s="300" t="s">
        <v>418</v>
      </c>
      <c r="D79" s="317" t="str">
        <f t="shared" si="8"/>
        <v>NA</v>
      </c>
      <c r="E79" s="317" t="str">
        <f t="shared" si="9"/>
        <v>NA</v>
      </c>
      <c r="F79" s="317" t="str">
        <f t="shared" si="10"/>
        <v>NA</v>
      </c>
      <c r="G79" s="317" t="str">
        <f t="shared" si="11"/>
        <v>NA</v>
      </c>
      <c r="H79" s="317"/>
      <c r="I79" s="317" t="str">
        <f t="shared" si="7"/>
        <v>Keith Scott</v>
      </c>
      <c r="J79" s="317" t="str">
        <f t="shared" si="12"/>
        <v>NA</v>
      </c>
      <c r="K79" s="317" t="str">
        <f t="shared" si="13"/>
        <v>Jason Kenney</v>
      </c>
      <c r="L79" s="317" t="str">
        <f t="shared" si="14"/>
        <v>NA</v>
      </c>
      <c r="M79" s="317"/>
      <c r="N79" s="317" t="s">
        <v>1491</v>
      </c>
      <c r="O79" s="285" t="s">
        <v>429</v>
      </c>
      <c r="P79" s="287"/>
      <c r="Q79" s="290" t="s">
        <v>430</v>
      </c>
      <c r="R79" s="296" t="s">
        <v>431</v>
      </c>
      <c r="S79" s="297" t="s">
        <v>73</v>
      </c>
      <c r="T79" s="297">
        <v>56518</v>
      </c>
      <c r="U79" s="283">
        <v>16506</v>
      </c>
      <c r="V79" s="283" t="s">
        <v>432</v>
      </c>
      <c r="W79" s="262" t="s">
        <v>433</v>
      </c>
    </row>
    <row r="80" spans="1:23" ht="17.25" customHeight="1">
      <c r="A80" s="309" t="s">
        <v>147</v>
      </c>
      <c r="B80" s="313" t="s">
        <v>434</v>
      </c>
      <c r="C80" s="299" t="s">
        <v>418</v>
      </c>
      <c r="D80" s="317" t="str">
        <f t="shared" si="8"/>
        <v>NA</v>
      </c>
      <c r="E80" s="317" t="str">
        <f t="shared" si="9"/>
        <v>NA</v>
      </c>
      <c r="F80" s="317" t="str">
        <f t="shared" si="10"/>
        <v>NA</v>
      </c>
      <c r="G80" s="317" t="str">
        <f t="shared" si="11"/>
        <v>NA</v>
      </c>
      <c r="H80" s="317"/>
      <c r="I80" s="317" t="str">
        <f t="shared" si="7"/>
        <v>Keith Scott</v>
      </c>
      <c r="J80" s="317" t="str">
        <f t="shared" si="12"/>
        <v>NA</v>
      </c>
      <c r="K80" s="317" t="str">
        <f t="shared" si="13"/>
        <v>Calvin Pehle</v>
      </c>
      <c r="L80" s="317" t="str">
        <f t="shared" si="14"/>
        <v>NA</v>
      </c>
      <c r="M80" s="317"/>
      <c r="N80" s="317" t="s">
        <v>1491</v>
      </c>
      <c r="O80" s="285" t="s">
        <v>422</v>
      </c>
      <c r="P80" s="283" t="s">
        <v>423</v>
      </c>
      <c r="Q80" s="300" t="s">
        <v>435</v>
      </c>
      <c r="R80" s="288" t="s">
        <v>436</v>
      </c>
      <c r="S80" s="289" t="s">
        <v>73</v>
      </c>
      <c r="T80" s="289">
        <v>55330</v>
      </c>
      <c r="U80" s="283"/>
      <c r="V80" s="283" t="s">
        <v>437</v>
      </c>
      <c r="W80" s="268" t="s">
        <v>438</v>
      </c>
    </row>
    <row r="81" spans="1:23" ht="17.25" customHeight="1">
      <c r="A81" s="309" t="s">
        <v>147</v>
      </c>
      <c r="B81" s="313" t="s">
        <v>439</v>
      </c>
      <c r="C81" s="300" t="s">
        <v>418</v>
      </c>
      <c r="D81" s="317" t="str">
        <f t="shared" si="8"/>
        <v>NA</v>
      </c>
      <c r="E81" s="317" t="str">
        <f t="shared" si="9"/>
        <v>NA</v>
      </c>
      <c r="F81" s="317" t="str">
        <f t="shared" si="10"/>
        <v>NA</v>
      </c>
      <c r="G81" s="317" t="str">
        <f t="shared" si="11"/>
        <v>NA</v>
      </c>
      <c r="H81" s="317"/>
      <c r="I81" s="317" t="str">
        <f t="shared" si="7"/>
        <v>Keith Scott</v>
      </c>
      <c r="J81" s="317" t="str">
        <f t="shared" si="12"/>
        <v>NA</v>
      </c>
      <c r="K81" s="317" t="str">
        <f t="shared" si="13"/>
        <v>Tommy Carrigan</v>
      </c>
      <c r="L81" s="317" t="str">
        <f t="shared" si="14"/>
        <v>NA</v>
      </c>
      <c r="M81" s="317"/>
      <c r="N81" s="317" t="s">
        <v>1491</v>
      </c>
      <c r="O81" s="285" t="s">
        <v>440</v>
      </c>
      <c r="P81" s="283" t="s">
        <v>420</v>
      </c>
      <c r="Q81" s="290" t="s">
        <v>441</v>
      </c>
      <c r="R81" s="296" t="s">
        <v>442</v>
      </c>
      <c r="S81" s="297" t="s">
        <v>294</v>
      </c>
      <c r="T81" s="297">
        <v>51401</v>
      </c>
      <c r="U81" s="283">
        <v>13319</v>
      </c>
      <c r="V81" s="283" t="s">
        <v>443</v>
      </c>
      <c r="W81" s="262" t="s">
        <v>444</v>
      </c>
    </row>
    <row r="82" spans="1:23">
      <c r="A82" s="309" t="s">
        <v>147</v>
      </c>
      <c r="B82" s="292" t="s">
        <v>445</v>
      </c>
      <c r="C82" s="300" t="s">
        <v>418</v>
      </c>
      <c r="D82" s="317" t="str">
        <f t="shared" si="8"/>
        <v>NA</v>
      </c>
      <c r="E82" s="317" t="str">
        <f t="shared" si="9"/>
        <v>NA</v>
      </c>
      <c r="F82" s="317" t="str">
        <f t="shared" si="10"/>
        <v>NA</v>
      </c>
      <c r="G82" s="317" t="str">
        <f t="shared" si="11"/>
        <v>NA</v>
      </c>
      <c r="H82" s="317"/>
      <c r="I82" s="317" t="str">
        <f t="shared" si="7"/>
        <v>Keith Scott</v>
      </c>
      <c r="J82" s="317" t="str">
        <f t="shared" si="12"/>
        <v>NA</v>
      </c>
      <c r="K82" s="317" t="str">
        <f t="shared" si="13"/>
        <v>Tamara Lewey</v>
      </c>
      <c r="L82" s="317" t="str">
        <f t="shared" si="14"/>
        <v>NA</v>
      </c>
      <c r="M82" s="317"/>
      <c r="N82" s="317" t="s">
        <v>1491</v>
      </c>
      <c r="O82" s="285" t="s">
        <v>446</v>
      </c>
      <c r="Q82" s="292" t="s">
        <v>447</v>
      </c>
      <c r="R82" s="293" t="s">
        <v>448</v>
      </c>
      <c r="S82" s="294" t="s">
        <v>73</v>
      </c>
      <c r="T82" s="294">
        <v>55041</v>
      </c>
      <c r="U82" s="283">
        <v>16514</v>
      </c>
      <c r="V82" s="283" t="s">
        <v>449</v>
      </c>
      <c r="W82" s="268" t="s">
        <v>450</v>
      </c>
    </row>
    <row r="83" spans="1:23">
      <c r="A83" s="309" t="s">
        <v>147</v>
      </c>
      <c r="B83" s="313" t="s">
        <v>451</v>
      </c>
      <c r="C83" s="300" t="s">
        <v>418</v>
      </c>
      <c r="D83" s="317" t="str">
        <f t="shared" si="8"/>
        <v>NA</v>
      </c>
      <c r="E83" s="317" t="str">
        <f t="shared" si="9"/>
        <v>NA</v>
      </c>
      <c r="F83" s="317" t="str">
        <f t="shared" si="10"/>
        <v>NA</v>
      </c>
      <c r="G83" s="317" t="str">
        <f t="shared" si="11"/>
        <v>NA</v>
      </c>
      <c r="H83" s="317"/>
      <c r="I83" s="317" t="str">
        <f t="shared" si="7"/>
        <v>Keith Scott</v>
      </c>
      <c r="J83" s="317" t="str">
        <f t="shared" si="12"/>
        <v>NA</v>
      </c>
      <c r="K83" s="317" t="str">
        <f t="shared" si="13"/>
        <v>Justin Evans</v>
      </c>
      <c r="L83" s="317" t="str">
        <f t="shared" si="14"/>
        <v>NA</v>
      </c>
      <c r="M83" s="317"/>
      <c r="N83" s="317" t="s">
        <v>1491</v>
      </c>
      <c r="O83" s="285" t="s">
        <v>452</v>
      </c>
      <c r="P83" s="287"/>
      <c r="Q83" s="290" t="s">
        <v>453</v>
      </c>
      <c r="R83" s="296" t="s">
        <v>454</v>
      </c>
      <c r="S83" s="297" t="s">
        <v>73</v>
      </c>
      <c r="T83" s="297">
        <v>56501</v>
      </c>
      <c r="U83" s="283">
        <v>25080</v>
      </c>
      <c r="V83" s="283" t="s">
        <v>455</v>
      </c>
      <c r="W83" s="262" t="s">
        <v>456</v>
      </c>
    </row>
    <row r="84" spans="1:23">
      <c r="A84" s="309" t="s">
        <v>5</v>
      </c>
      <c r="B84" s="313" t="s">
        <v>423</v>
      </c>
      <c r="C84" s="300" t="s">
        <v>418</v>
      </c>
      <c r="D84" s="317" t="str">
        <f t="shared" si="8"/>
        <v>NA</v>
      </c>
      <c r="E84" s="317" t="str">
        <f t="shared" si="9"/>
        <v>NA</v>
      </c>
      <c r="F84" s="317" t="str">
        <f t="shared" si="10"/>
        <v>NA</v>
      </c>
      <c r="G84" s="317" t="str">
        <f t="shared" si="11"/>
        <v>NA</v>
      </c>
      <c r="H84" s="317"/>
      <c r="I84" s="317" t="str">
        <f t="shared" si="7"/>
        <v>Keith Scott</v>
      </c>
      <c r="J84" s="317" t="str">
        <f t="shared" si="12"/>
        <v>NA</v>
      </c>
      <c r="K84" s="317" t="str">
        <f t="shared" si="13"/>
        <v>NA</v>
      </c>
      <c r="L84" s="317" t="str">
        <f t="shared" si="14"/>
        <v>Patrick Welch</v>
      </c>
      <c r="M84" s="317"/>
      <c r="N84" s="317" t="s">
        <v>1491</v>
      </c>
      <c r="O84" s="285" t="s">
        <v>422</v>
      </c>
      <c r="P84" s="287"/>
      <c r="Q84" s="290" t="s">
        <v>457</v>
      </c>
      <c r="R84" s="296" t="s">
        <v>458</v>
      </c>
      <c r="S84" s="287" t="s">
        <v>73</v>
      </c>
      <c r="T84" s="297">
        <v>55303</v>
      </c>
      <c r="U84" s="283">
        <v>14379</v>
      </c>
      <c r="V84" s="287" t="s">
        <v>459</v>
      </c>
      <c r="W84" s="262" t="s">
        <v>460</v>
      </c>
    </row>
    <row r="85" spans="1:23" ht="26.25">
      <c r="A85" s="309" t="s">
        <v>5</v>
      </c>
      <c r="B85" s="313" t="s">
        <v>420</v>
      </c>
      <c r="C85" s="300" t="s">
        <v>418</v>
      </c>
      <c r="D85" s="317" t="str">
        <f t="shared" si="8"/>
        <v>NA</v>
      </c>
      <c r="E85" s="317" t="str">
        <f t="shared" si="9"/>
        <v>NA</v>
      </c>
      <c r="F85" s="317" t="str">
        <f t="shared" si="10"/>
        <v>NA</v>
      </c>
      <c r="G85" s="317" t="str">
        <f t="shared" si="11"/>
        <v>NA</v>
      </c>
      <c r="H85" s="317"/>
      <c r="I85" s="317" t="str">
        <f t="shared" si="7"/>
        <v>Keith Scott</v>
      </c>
      <c r="J85" s="317" t="str">
        <f t="shared" si="12"/>
        <v>NA</v>
      </c>
      <c r="K85" s="317" t="str">
        <f t="shared" si="13"/>
        <v>NA</v>
      </c>
      <c r="L85" s="317" t="str">
        <f t="shared" si="14"/>
        <v>Matt Sobocinski</v>
      </c>
      <c r="M85" s="317"/>
      <c r="N85" s="317" t="s">
        <v>1491</v>
      </c>
      <c r="O85" s="285" t="s">
        <v>461</v>
      </c>
      <c r="P85" s="287"/>
      <c r="Q85" s="290" t="s">
        <v>462</v>
      </c>
      <c r="R85" s="296" t="s">
        <v>463</v>
      </c>
      <c r="S85" s="287" t="s">
        <v>259</v>
      </c>
      <c r="T85" s="297">
        <v>57005</v>
      </c>
      <c r="U85" s="283"/>
      <c r="V85" s="287" t="s">
        <v>464</v>
      </c>
      <c r="W85" s="268" t="s">
        <v>465</v>
      </c>
    </row>
    <row r="86" spans="1:23">
      <c r="A86" s="310" t="s">
        <v>126</v>
      </c>
      <c r="B86" s="314" t="s">
        <v>466</v>
      </c>
      <c r="C86" s="318" t="s">
        <v>467</v>
      </c>
      <c r="D86" s="317" t="str">
        <f t="shared" si="8"/>
        <v>NA</v>
      </c>
      <c r="E86" s="317" t="str">
        <f t="shared" si="9"/>
        <v>NA</v>
      </c>
      <c r="F86" s="317" t="str">
        <f t="shared" si="10"/>
        <v>NA</v>
      </c>
      <c r="G86" s="317" t="str">
        <f t="shared" si="11"/>
        <v>NA</v>
      </c>
      <c r="H86" s="317"/>
      <c r="I86" s="317" t="str">
        <f t="shared" ref="I86:I98" si="15">$B$21</f>
        <v>Keith Scott</v>
      </c>
      <c r="J86" s="317" t="str">
        <f t="shared" si="12"/>
        <v>Dusty Burgess</v>
      </c>
      <c r="K86" s="317" t="str">
        <f t="shared" si="13"/>
        <v>NA</v>
      </c>
      <c r="L86" s="317" t="str">
        <f t="shared" si="14"/>
        <v>NA</v>
      </c>
      <c r="M86" s="317"/>
      <c r="N86" s="317" t="s">
        <v>1491</v>
      </c>
      <c r="O86" s="245"/>
      <c r="P86" s="244"/>
      <c r="Q86" s="246" t="s">
        <v>468</v>
      </c>
      <c r="R86" s="247" t="s">
        <v>469</v>
      </c>
      <c r="S86" s="244" t="s">
        <v>212</v>
      </c>
      <c r="T86" s="244">
        <v>59801</v>
      </c>
      <c r="U86" s="248">
        <v>25068</v>
      </c>
      <c r="V86" s="248" t="s">
        <v>470</v>
      </c>
      <c r="W86" s="268" t="s">
        <v>471</v>
      </c>
    </row>
    <row r="87" spans="1:23" ht="15.75" customHeight="1">
      <c r="A87" s="310" t="s">
        <v>135</v>
      </c>
      <c r="B87" s="314" t="s">
        <v>472</v>
      </c>
      <c r="C87" s="318" t="s">
        <v>477</v>
      </c>
      <c r="D87" s="317" t="str">
        <f t="shared" si="8"/>
        <v>Keith Seubert</v>
      </c>
      <c r="E87" s="317" t="str">
        <f t="shared" si="9"/>
        <v>NA</v>
      </c>
      <c r="F87" s="317" t="str">
        <f t="shared" si="10"/>
        <v>NA</v>
      </c>
      <c r="G87" s="317" t="str">
        <f t="shared" si="11"/>
        <v>NA</v>
      </c>
      <c r="H87" s="317"/>
      <c r="I87" s="317" t="str">
        <f t="shared" si="15"/>
        <v>Keith Scott</v>
      </c>
      <c r="J87" s="317" t="str">
        <f t="shared" si="12"/>
        <v>NA</v>
      </c>
      <c r="K87" s="317" t="str">
        <f t="shared" si="13"/>
        <v>NA</v>
      </c>
      <c r="L87" s="317" t="str">
        <f t="shared" si="14"/>
        <v>NA</v>
      </c>
      <c r="M87" s="317"/>
      <c r="N87" s="317" t="s">
        <v>1491</v>
      </c>
      <c r="O87" s="245"/>
      <c r="P87" s="244"/>
      <c r="Q87" s="246" t="s">
        <v>473</v>
      </c>
      <c r="R87" s="247" t="s">
        <v>474</v>
      </c>
      <c r="S87" s="244" t="s">
        <v>18</v>
      </c>
      <c r="T87" s="244">
        <v>54448</v>
      </c>
      <c r="U87" s="248">
        <v>13317</v>
      </c>
      <c r="V87" s="248"/>
      <c r="W87" s="262" t="s">
        <v>475</v>
      </c>
    </row>
    <row r="88" spans="1:23">
      <c r="A88" s="309" t="s">
        <v>147</v>
      </c>
      <c r="B88" s="313" t="s">
        <v>476</v>
      </c>
      <c r="C88" s="300" t="s">
        <v>477</v>
      </c>
      <c r="D88" s="317" t="str">
        <f t="shared" si="8"/>
        <v>NA</v>
      </c>
      <c r="E88" s="317" t="str">
        <f t="shared" si="9"/>
        <v>NA</v>
      </c>
      <c r="F88" s="317" t="str">
        <f t="shared" si="10"/>
        <v>NA</v>
      </c>
      <c r="G88" s="317" t="str">
        <f t="shared" si="11"/>
        <v>NA</v>
      </c>
      <c r="H88" s="317"/>
      <c r="I88" s="317" t="str">
        <f t="shared" si="15"/>
        <v>Keith Scott</v>
      </c>
      <c r="J88" s="317" t="str">
        <f t="shared" si="12"/>
        <v>NA</v>
      </c>
      <c r="K88" s="317" t="str">
        <f t="shared" si="13"/>
        <v>Bryan Davis</v>
      </c>
      <c r="L88" s="317" t="str">
        <f t="shared" si="14"/>
        <v>NA</v>
      </c>
      <c r="M88" s="317"/>
      <c r="N88" s="317" t="s">
        <v>1491</v>
      </c>
      <c r="O88" s="285" t="s">
        <v>478</v>
      </c>
      <c r="P88" s="287" t="s">
        <v>479</v>
      </c>
      <c r="Q88" s="292" t="s">
        <v>480</v>
      </c>
      <c r="R88" s="290" t="s">
        <v>481</v>
      </c>
      <c r="S88" s="287" t="s">
        <v>123</v>
      </c>
      <c r="T88" s="297">
        <v>83854</v>
      </c>
      <c r="U88" s="283">
        <v>25079</v>
      </c>
      <c r="V88" s="283" t="s">
        <v>482</v>
      </c>
      <c r="W88" s="262" t="s">
        <v>483</v>
      </c>
    </row>
    <row r="89" spans="1:23">
      <c r="A89" s="309" t="s">
        <v>147</v>
      </c>
      <c r="B89" s="313" t="s">
        <v>484</v>
      </c>
      <c r="C89" s="306" t="s">
        <v>477</v>
      </c>
      <c r="D89" s="317" t="str">
        <f t="shared" si="8"/>
        <v>NA</v>
      </c>
      <c r="E89" s="317" t="str">
        <f t="shared" si="9"/>
        <v>NA</v>
      </c>
      <c r="F89" s="317" t="str">
        <f t="shared" si="10"/>
        <v>NA</v>
      </c>
      <c r="G89" s="317" t="str">
        <f t="shared" si="11"/>
        <v>NA</v>
      </c>
      <c r="H89" s="317"/>
      <c r="I89" s="317" t="str">
        <f t="shared" si="15"/>
        <v>Keith Scott</v>
      </c>
      <c r="J89" s="317" t="str">
        <f t="shared" si="12"/>
        <v>NA</v>
      </c>
      <c r="K89" s="317" t="str">
        <f t="shared" si="13"/>
        <v>Kerry Jones</v>
      </c>
      <c r="L89" s="317" t="str">
        <f t="shared" si="14"/>
        <v>NA</v>
      </c>
      <c r="M89" s="317"/>
      <c r="N89" s="317" t="s">
        <v>1491</v>
      </c>
      <c r="O89" s="306" t="s">
        <v>485</v>
      </c>
      <c r="P89" s="287" t="s">
        <v>486</v>
      </c>
      <c r="Q89" s="290" t="s">
        <v>487</v>
      </c>
      <c r="R89" s="290" t="s">
        <v>488</v>
      </c>
      <c r="S89" s="287" t="s">
        <v>489</v>
      </c>
      <c r="T89" s="297">
        <v>84020</v>
      </c>
      <c r="U89" s="283">
        <v>25087</v>
      </c>
      <c r="V89" s="283" t="s">
        <v>490</v>
      </c>
      <c r="W89" s="262" t="s">
        <v>491</v>
      </c>
    </row>
    <row r="90" spans="1:23">
      <c r="A90" s="309" t="s">
        <v>147</v>
      </c>
      <c r="B90" s="313" t="s">
        <v>36</v>
      </c>
      <c r="C90" s="306" t="s">
        <v>477</v>
      </c>
      <c r="D90" s="317" t="str">
        <f t="shared" si="8"/>
        <v>NA</v>
      </c>
      <c r="E90" s="317" t="str">
        <f t="shared" si="9"/>
        <v>NA</v>
      </c>
      <c r="F90" s="317" t="str">
        <f t="shared" si="10"/>
        <v>NA</v>
      </c>
      <c r="G90" s="317" t="str">
        <f t="shared" si="11"/>
        <v>NA</v>
      </c>
      <c r="H90" s="317"/>
      <c r="I90" s="317" t="str">
        <f t="shared" si="15"/>
        <v>Keith Scott</v>
      </c>
      <c r="J90" s="317" t="str">
        <f t="shared" si="12"/>
        <v>NA</v>
      </c>
      <c r="K90" s="317" t="str">
        <f t="shared" si="13"/>
        <v>OPEN POSITION</v>
      </c>
      <c r="L90" s="317" t="str">
        <f t="shared" si="14"/>
        <v>NA</v>
      </c>
      <c r="M90" s="317"/>
      <c r="N90" s="317" t="s">
        <v>1491</v>
      </c>
      <c r="O90" s="306" t="s">
        <v>492</v>
      </c>
      <c r="P90" s="287"/>
      <c r="Q90" s="290"/>
      <c r="R90" s="290"/>
      <c r="S90" s="287"/>
      <c r="T90" s="287"/>
      <c r="U90" s="283"/>
      <c r="V90" s="283"/>
      <c r="W90" s="268"/>
    </row>
    <row r="91" spans="1:23">
      <c r="A91" s="309" t="s">
        <v>147</v>
      </c>
      <c r="B91" s="313" t="s">
        <v>493</v>
      </c>
      <c r="C91" s="300" t="s">
        <v>477</v>
      </c>
      <c r="D91" s="317" t="str">
        <f t="shared" si="8"/>
        <v>NA</v>
      </c>
      <c r="E91" s="317" t="str">
        <f t="shared" si="9"/>
        <v>NA</v>
      </c>
      <c r="F91" s="317" t="str">
        <f t="shared" si="10"/>
        <v>NA</v>
      </c>
      <c r="G91" s="317" t="str">
        <f t="shared" si="11"/>
        <v>NA</v>
      </c>
      <c r="H91" s="317"/>
      <c r="I91" s="317" t="str">
        <f t="shared" si="15"/>
        <v>Keith Scott</v>
      </c>
      <c r="J91" s="317" t="str">
        <f t="shared" si="12"/>
        <v>NA</v>
      </c>
      <c r="K91" s="317" t="str">
        <f t="shared" si="13"/>
        <v>Sammy Saunders</v>
      </c>
      <c r="L91" s="317" t="str">
        <f t="shared" si="14"/>
        <v>NA</v>
      </c>
      <c r="M91" s="317"/>
      <c r="N91" s="317" t="s">
        <v>1491</v>
      </c>
      <c r="O91" s="285" t="s">
        <v>494</v>
      </c>
      <c r="P91" s="287" t="s">
        <v>495</v>
      </c>
      <c r="Q91" s="290" t="s">
        <v>496</v>
      </c>
      <c r="R91" s="296" t="s">
        <v>497</v>
      </c>
      <c r="S91" s="297" t="s">
        <v>212</v>
      </c>
      <c r="T91" s="297">
        <v>59750</v>
      </c>
      <c r="U91" s="283">
        <v>12108</v>
      </c>
      <c r="V91" s="283" t="s">
        <v>498</v>
      </c>
      <c r="W91" s="268" t="s">
        <v>499</v>
      </c>
    </row>
    <row r="92" spans="1:23">
      <c r="A92" s="309" t="s">
        <v>147</v>
      </c>
      <c r="B92" s="313" t="s">
        <v>500</v>
      </c>
      <c r="C92" s="300" t="s">
        <v>477</v>
      </c>
      <c r="D92" s="317" t="str">
        <f t="shared" si="8"/>
        <v>NA</v>
      </c>
      <c r="E92" s="317" t="str">
        <f t="shared" si="9"/>
        <v>NA</v>
      </c>
      <c r="F92" s="317" t="str">
        <f t="shared" si="10"/>
        <v>NA</v>
      </c>
      <c r="G92" s="317" t="str">
        <f t="shared" si="11"/>
        <v>NA</v>
      </c>
      <c r="H92" s="317"/>
      <c r="I92" s="317" t="str">
        <f t="shared" si="15"/>
        <v>Keith Scott</v>
      </c>
      <c r="J92" s="317" t="str">
        <f t="shared" si="12"/>
        <v>NA</v>
      </c>
      <c r="K92" s="317" t="str">
        <f t="shared" si="13"/>
        <v>Tristan Drollinger</v>
      </c>
      <c r="L92" s="317" t="str">
        <f t="shared" si="14"/>
        <v>NA</v>
      </c>
      <c r="M92" s="317"/>
      <c r="N92" s="317" t="s">
        <v>1491</v>
      </c>
      <c r="O92" s="285" t="s">
        <v>501</v>
      </c>
      <c r="P92" s="287" t="s">
        <v>36</v>
      </c>
      <c r="Q92" s="292" t="s">
        <v>502</v>
      </c>
      <c r="R92" s="290" t="s">
        <v>503</v>
      </c>
      <c r="S92" s="287" t="s">
        <v>123</v>
      </c>
      <c r="T92" s="287">
        <v>83402</v>
      </c>
      <c r="U92" s="283">
        <v>25110</v>
      </c>
      <c r="V92" s="283" t="s">
        <v>504</v>
      </c>
      <c r="W92" s="262" t="s">
        <v>505</v>
      </c>
    </row>
    <row r="93" spans="1:23">
      <c r="A93" s="309" t="s">
        <v>147</v>
      </c>
      <c r="B93" s="313" t="s">
        <v>506</v>
      </c>
      <c r="C93" s="300" t="s">
        <v>477</v>
      </c>
      <c r="D93" s="317" t="str">
        <f t="shared" si="8"/>
        <v>NA</v>
      </c>
      <c r="E93" s="317" t="str">
        <f t="shared" si="9"/>
        <v>NA</v>
      </c>
      <c r="F93" s="317" t="str">
        <f t="shared" si="10"/>
        <v>NA</v>
      </c>
      <c r="G93" s="317" t="str">
        <f t="shared" si="11"/>
        <v>NA</v>
      </c>
      <c r="H93" s="317"/>
      <c r="I93" s="317" t="str">
        <f t="shared" si="15"/>
        <v>Keith Scott</v>
      </c>
      <c r="J93" s="317" t="str">
        <f t="shared" si="12"/>
        <v>NA</v>
      </c>
      <c r="K93" s="317" t="str">
        <f t="shared" si="13"/>
        <v>Brian Kneiper</v>
      </c>
      <c r="L93" s="317" t="str">
        <f t="shared" si="14"/>
        <v>NA</v>
      </c>
      <c r="M93" s="317"/>
      <c r="N93" s="317" t="s">
        <v>1491</v>
      </c>
      <c r="O93" s="285" t="s">
        <v>507</v>
      </c>
      <c r="P93" s="287" t="s">
        <v>479</v>
      </c>
      <c r="Q93" s="292" t="s">
        <v>508</v>
      </c>
      <c r="R93" s="290" t="s">
        <v>469</v>
      </c>
      <c r="S93" s="287" t="s">
        <v>212</v>
      </c>
      <c r="T93" s="287">
        <v>20543</v>
      </c>
      <c r="U93" s="283">
        <v>12324</v>
      </c>
      <c r="V93" s="283" t="s">
        <v>509</v>
      </c>
      <c r="W93" s="270" t="s">
        <v>510</v>
      </c>
    </row>
    <row r="94" spans="1:23">
      <c r="A94" s="309" t="s">
        <v>147</v>
      </c>
      <c r="B94" s="313" t="s">
        <v>511</v>
      </c>
      <c r="C94" s="300" t="s">
        <v>477</v>
      </c>
      <c r="D94" s="317" t="str">
        <f t="shared" si="8"/>
        <v>NA</v>
      </c>
      <c r="E94" s="317" t="str">
        <f t="shared" si="9"/>
        <v>NA</v>
      </c>
      <c r="F94" s="317" t="str">
        <f t="shared" si="10"/>
        <v>NA</v>
      </c>
      <c r="G94" s="317" t="str">
        <f t="shared" si="11"/>
        <v>NA</v>
      </c>
      <c r="H94" s="317"/>
      <c r="I94" s="317" t="str">
        <f t="shared" si="15"/>
        <v>Keith Scott</v>
      </c>
      <c r="J94" s="317" t="str">
        <f t="shared" si="12"/>
        <v>NA</v>
      </c>
      <c r="K94" s="317" t="str">
        <f t="shared" si="13"/>
        <v>Bert Baron</v>
      </c>
      <c r="L94" s="317" t="str">
        <f t="shared" si="14"/>
        <v>NA</v>
      </c>
      <c r="M94" s="317"/>
      <c r="N94" s="317" t="s">
        <v>1491</v>
      </c>
      <c r="O94" s="285" t="s">
        <v>512</v>
      </c>
      <c r="P94" s="287" t="s">
        <v>486</v>
      </c>
      <c r="Q94" s="292" t="s">
        <v>513</v>
      </c>
      <c r="R94" s="290" t="s">
        <v>514</v>
      </c>
      <c r="S94" s="287" t="s">
        <v>489</v>
      </c>
      <c r="T94" s="297">
        <v>84041</v>
      </c>
      <c r="U94" s="283">
        <v>25112</v>
      </c>
      <c r="V94" s="283" t="s">
        <v>515</v>
      </c>
      <c r="W94" s="262" t="s">
        <v>516</v>
      </c>
    </row>
    <row r="95" spans="1:23">
      <c r="A95" s="309" t="s">
        <v>5</v>
      </c>
      <c r="B95" s="313" t="s">
        <v>486</v>
      </c>
      <c r="C95" s="300" t="s">
        <v>477</v>
      </c>
      <c r="D95" s="317" t="str">
        <f t="shared" si="8"/>
        <v>NA</v>
      </c>
      <c r="E95" s="317" t="str">
        <f t="shared" si="9"/>
        <v>NA</v>
      </c>
      <c r="F95" s="317" t="str">
        <f t="shared" si="10"/>
        <v>NA</v>
      </c>
      <c r="G95" s="317" t="str">
        <f t="shared" si="11"/>
        <v>NA</v>
      </c>
      <c r="H95" s="317"/>
      <c r="I95" s="317" t="str">
        <f t="shared" si="15"/>
        <v>Keith Scott</v>
      </c>
      <c r="J95" s="317" t="str">
        <f t="shared" si="12"/>
        <v>NA</v>
      </c>
      <c r="K95" s="317" t="str">
        <f t="shared" si="13"/>
        <v>NA</v>
      </c>
      <c r="L95" s="317" t="str">
        <f t="shared" si="14"/>
        <v>Todd Memmott</v>
      </c>
      <c r="M95" s="317"/>
      <c r="N95" s="317" t="s">
        <v>1491</v>
      </c>
      <c r="O95" s="285" t="s">
        <v>517</v>
      </c>
      <c r="Q95" s="292" t="s">
        <v>518</v>
      </c>
      <c r="R95" s="290" t="s">
        <v>519</v>
      </c>
      <c r="S95" s="287" t="s">
        <v>489</v>
      </c>
      <c r="T95" s="297">
        <v>84010</v>
      </c>
      <c r="U95" s="283">
        <v>25077</v>
      </c>
      <c r="V95" s="283" t="s">
        <v>520</v>
      </c>
      <c r="W95" s="262" t="s">
        <v>521</v>
      </c>
    </row>
    <row r="96" spans="1:23">
      <c r="A96" s="309" t="s">
        <v>5</v>
      </c>
      <c r="B96" s="313" t="s">
        <v>479</v>
      </c>
      <c r="C96" s="300" t="s">
        <v>477</v>
      </c>
      <c r="D96" s="317" t="str">
        <f t="shared" si="8"/>
        <v>NA</v>
      </c>
      <c r="E96" s="317" t="str">
        <f t="shared" si="9"/>
        <v>NA</v>
      </c>
      <c r="F96" s="317" t="str">
        <f t="shared" si="10"/>
        <v>NA</v>
      </c>
      <c r="G96" s="317" t="str">
        <f t="shared" si="11"/>
        <v>NA</v>
      </c>
      <c r="H96" s="317"/>
      <c r="I96" s="317" t="str">
        <f t="shared" si="15"/>
        <v>Keith Scott</v>
      </c>
      <c r="J96" s="317" t="str">
        <f t="shared" si="12"/>
        <v>NA</v>
      </c>
      <c r="K96" s="317" t="str">
        <f t="shared" si="13"/>
        <v>NA</v>
      </c>
      <c r="L96" s="317" t="str">
        <f t="shared" si="14"/>
        <v>Brandon O'Neil</v>
      </c>
      <c r="M96" s="317"/>
      <c r="N96" s="317" t="s">
        <v>1491</v>
      </c>
      <c r="O96" s="285" t="s">
        <v>522</v>
      </c>
      <c r="Q96" s="290" t="s">
        <v>523</v>
      </c>
      <c r="R96" s="290" t="s">
        <v>524</v>
      </c>
      <c r="S96" s="287" t="s">
        <v>525</v>
      </c>
      <c r="T96" s="287">
        <v>99208</v>
      </c>
      <c r="U96" s="283">
        <v>13507</v>
      </c>
      <c r="V96" s="283" t="s">
        <v>526</v>
      </c>
      <c r="W96" s="262" t="s">
        <v>527</v>
      </c>
    </row>
    <row r="97" spans="1:23">
      <c r="A97" s="309" t="s">
        <v>5</v>
      </c>
      <c r="B97" s="313" t="s">
        <v>495</v>
      </c>
      <c r="C97" s="300" t="s">
        <v>477</v>
      </c>
      <c r="D97" s="317" t="str">
        <f t="shared" si="8"/>
        <v>NA</v>
      </c>
      <c r="E97" s="317" t="str">
        <f t="shared" si="9"/>
        <v>NA</v>
      </c>
      <c r="F97" s="317" t="str">
        <f t="shared" si="10"/>
        <v>NA</v>
      </c>
      <c r="G97" s="317" t="str">
        <f t="shared" si="11"/>
        <v>NA</v>
      </c>
      <c r="H97" s="317"/>
      <c r="I97" s="317" t="str">
        <f t="shared" si="15"/>
        <v>Keith Scott</v>
      </c>
      <c r="J97" s="317" t="str">
        <f t="shared" si="12"/>
        <v>NA</v>
      </c>
      <c r="K97" s="317" t="str">
        <f t="shared" si="13"/>
        <v>NA</v>
      </c>
      <c r="L97" s="317" t="str">
        <f t="shared" si="14"/>
        <v>Pete Tompers</v>
      </c>
      <c r="M97" s="317"/>
      <c r="N97" s="317" t="s">
        <v>1491</v>
      </c>
      <c r="O97" s="285" t="s">
        <v>528</v>
      </c>
      <c r="Q97" s="290" t="s">
        <v>529</v>
      </c>
      <c r="R97" s="290" t="s">
        <v>530</v>
      </c>
      <c r="S97" s="287" t="s">
        <v>212</v>
      </c>
      <c r="T97" s="287">
        <v>59404</v>
      </c>
      <c r="U97" s="283">
        <v>17955</v>
      </c>
      <c r="V97" s="283" t="s">
        <v>531</v>
      </c>
      <c r="W97" s="262" t="s">
        <v>532</v>
      </c>
    </row>
    <row r="98" spans="1:23">
      <c r="A98" s="309" t="s">
        <v>5</v>
      </c>
      <c r="B98" s="313" t="s">
        <v>417</v>
      </c>
      <c r="C98" s="300" t="s">
        <v>477</v>
      </c>
      <c r="D98" s="317" t="str">
        <f t="shared" si="8"/>
        <v>NA</v>
      </c>
      <c r="E98" s="317" t="str">
        <f t="shared" si="9"/>
        <v>NA</v>
      </c>
      <c r="F98" s="317" t="str">
        <f t="shared" si="10"/>
        <v>NA</v>
      </c>
      <c r="G98" s="317" t="str">
        <f t="shared" si="11"/>
        <v>NA</v>
      </c>
      <c r="H98" s="317"/>
      <c r="I98" s="317" t="str">
        <f t="shared" si="15"/>
        <v>Keith Scott</v>
      </c>
      <c r="J98" s="317" t="str">
        <f t="shared" si="12"/>
        <v>NA</v>
      </c>
      <c r="K98" s="317" t="str">
        <f t="shared" si="13"/>
        <v>NA</v>
      </c>
      <c r="L98" s="317" t="str">
        <f t="shared" si="14"/>
        <v xml:space="preserve">OPEN POSITION </v>
      </c>
      <c r="M98" s="317"/>
      <c r="N98" s="317" t="s">
        <v>1491</v>
      </c>
      <c r="O98" s="285" t="s">
        <v>533</v>
      </c>
      <c r="Q98" s="290"/>
      <c r="R98" s="290"/>
      <c r="S98" s="287"/>
      <c r="T98" s="290"/>
      <c r="U98" s="283"/>
      <c r="V98" s="290"/>
      <c r="W98" s="262"/>
    </row>
    <row r="99" spans="1:23">
      <c r="A99" s="307" t="s">
        <v>534</v>
      </c>
      <c r="B99" s="311" t="s">
        <v>535</v>
      </c>
      <c r="C99" s="311" t="s">
        <v>1470</v>
      </c>
      <c r="D99" s="317" t="str">
        <f t="shared" si="8"/>
        <v>NA</v>
      </c>
      <c r="E99" s="317" t="str">
        <f t="shared" si="9"/>
        <v>NA</v>
      </c>
      <c r="F99" s="317" t="str">
        <f t="shared" si="10"/>
        <v>NA</v>
      </c>
      <c r="G99" s="317" t="str">
        <f t="shared" si="11"/>
        <v>NA</v>
      </c>
      <c r="H99" s="317"/>
      <c r="I99" s="317" t="str">
        <f>$B$99</f>
        <v>Ryan Gerulski</v>
      </c>
      <c r="J99" s="317" t="str">
        <f t="shared" si="12"/>
        <v>NA</v>
      </c>
      <c r="K99" s="317" t="str">
        <f t="shared" si="13"/>
        <v>NA</v>
      </c>
      <c r="L99" s="317" t="str">
        <f t="shared" si="14"/>
        <v>NA</v>
      </c>
      <c r="M99" s="317"/>
      <c r="N99" s="317" t="s">
        <v>1491</v>
      </c>
      <c r="O99" s="280"/>
      <c r="P99" s="280"/>
      <c r="Q99" s="280" t="s">
        <v>536</v>
      </c>
      <c r="R99" s="280" t="s">
        <v>537</v>
      </c>
      <c r="S99" s="280" t="s">
        <v>43</v>
      </c>
      <c r="T99" s="280">
        <v>48642</v>
      </c>
      <c r="U99" s="280">
        <v>13380</v>
      </c>
      <c r="V99" s="280" t="s">
        <v>538</v>
      </c>
      <c r="W99" s="280" t="s">
        <v>539</v>
      </c>
    </row>
    <row r="100" spans="1:23">
      <c r="A100" s="310" t="s">
        <v>126</v>
      </c>
      <c r="B100" s="314" t="s">
        <v>417</v>
      </c>
      <c r="C100" s="318" t="s">
        <v>540</v>
      </c>
      <c r="D100" s="317" t="str">
        <f t="shared" si="8"/>
        <v>NA</v>
      </c>
      <c r="E100" s="317" t="str">
        <f t="shared" si="9"/>
        <v>NA</v>
      </c>
      <c r="F100" s="317" t="str">
        <f t="shared" si="10"/>
        <v>NA</v>
      </c>
      <c r="G100" s="317" t="str">
        <f t="shared" si="11"/>
        <v>NA</v>
      </c>
      <c r="H100" s="317"/>
      <c r="I100" s="317" t="str">
        <f t="shared" ref="I100:I149" si="16">$B$99</f>
        <v>Ryan Gerulski</v>
      </c>
      <c r="J100" s="317" t="str">
        <f t="shared" si="12"/>
        <v xml:space="preserve">OPEN POSITION </v>
      </c>
      <c r="K100" s="317" t="str">
        <f t="shared" si="13"/>
        <v>NA</v>
      </c>
      <c r="L100" s="317" t="str">
        <f t="shared" si="14"/>
        <v>NA</v>
      </c>
      <c r="M100" s="317"/>
      <c r="N100" s="317" t="s">
        <v>1491</v>
      </c>
      <c r="O100" s="245"/>
      <c r="P100" s="244"/>
      <c r="Q100" s="246"/>
      <c r="R100" s="247"/>
      <c r="S100" s="244"/>
      <c r="T100" s="244"/>
      <c r="U100" s="248"/>
      <c r="V100" s="248"/>
      <c r="W100" s="268"/>
    </row>
    <row r="101" spans="1:23">
      <c r="A101" s="310" t="s">
        <v>135</v>
      </c>
      <c r="B101" s="314" t="s">
        <v>541</v>
      </c>
      <c r="C101" s="318" t="s">
        <v>68</v>
      </c>
      <c r="D101" s="317" t="str">
        <f t="shared" si="8"/>
        <v>Nick Beauchamp</v>
      </c>
      <c r="E101" s="317" t="str">
        <f t="shared" si="9"/>
        <v>NA</v>
      </c>
      <c r="F101" s="317" t="str">
        <f t="shared" si="10"/>
        <v>NA</v>
      </c>
      <c r="G101" s="317" t="str">
        <f t="shared" si="11"/>
        <v>NA</v>
      </c>
      <c r="H101" s="317"/>
      <c r="I101" s="317" t="str">
        <f t="shared" si="16"/>
        <v>Ryan Gerulski</v>
      </c>
      <c r="J101" s="317" t="str">
        <f t="shared" si="12"/>
        <v>NA</v>
      </c>
      <c r="K101" s="317" t="str">
        <f t="shared" si="13"/>
        <v>NA</v>
      </c>
      <c r="L101" s="317" t="str">
        <f t="shared" si="14"/>
        <v>NA</v>
      </c>
      <c r="M101" s="317"/>
      <c r="N101" s="317" t="s">
        <v>1491</v>
      </c>
      <c r="O101" s="245"/>
      <c r="P101" s="244"/>
      <c r="Q101" s="246" t="s">
        <v>542</v>
      </c>
      <c r="R101" s="247" t="s">
        <v>99</v>
      </c>
      <c r="S101" s="244" t="s">
        <v>18</v>
      </c>
      <c r="T101" s="244">
        <v>54403</v>
      </c>
      <c r="U101" s="248">
        <v>13364</v>
      </c>
      <c r="V101" s="248" t="s">
        <v>543</v>
      </c>
      <c r="W101" s="262" t="s">
        <v>544</v>
      </c>
    </row>
    <row r="102" spans="1:23">
      <c r="A102" s="309" t="s">
        <v>147</v>
      </c>
      <c r="B102" s="313" t="s">
        <v>545</v>
      </c>
      <c r="C102" s="300" t="s">
        <v>68</v>
      </c>
      <c r="D102" s="317" t="str">
        <f t="shared" si="8"/>
        <v>NA</v>
      </c>
      <c r="E102" s="317" t="str">
        <f t="shared" si="9"/>
        <v>NA</v>
      </c>
      <c r="F102" s="317" t="str">
        <f t="shared" si="10"/>
        <v>NA</v>
      </c>
      <c r="G102" s="317" t="str">
        <f t="shared" si="11"/>
        <v>NA</v>
      </c>
      <c r="H102" s="317"/>
      <c r="I102" s="317" t="str">
        <f t="shared" si="16"/>
        <v>Ryan Gerulski</v>
      </c>
      <c r="J102" s="317" t="str">
        <f t="shared" si="12"/>
        <v>NA</v>
      </c>
      <c r="K102" s="317" t="str">
        <f t="shared" si="13"/>
        <v>Nicole Schwedler</v>
      </c>
      <c r="L102" s="317" t="str">
        <f t="shared" si="14"/>
        <v>NA</v>
      </c>
      <c r="M102" s="317"/>
      <c r="N102" s="317" t="s">
        <v>1491</v>
      </c>
      <c r="O102" s="285" t="s">
        <v>546</v>
      </c>
      <c r="P102" s="287" t="s">
        <v>547</v>
      </c>
      <c r="Q102" s="290" t="s">
        <v>548</v>
      </c>
      <c r="R102" s="296" t="s">
        <v>549</v>
      </c>
      <c r="S102" s="297" t="s">
        <v>330</v>
      </c>
      <c r="T102" s="297">
        <v>46062</v>
      </c>
      <c r="U102" s="283"/>
      <c r="V102" s="283"/>
      <c r="W102" s="268" t="s">
        <v>550</v>
      </c>
    </row>
    <row r="103" spans="1:23">
      <c r="A103" s="309" t="s">
        <v>147</v>
      </c>
      <c r="B103" s="313" t="s">
        <v>36</v>
      </c>
      <c r="C103" s="300" t="s">
        <v>68</v>
      </c>
      <c r="D103" s="317" t="str">
        <f t="shared" si="8"/>
        <v>NA</v>
      </c>
      <c r="E103" s="317" t="str">
        <f t="shared" si="9"/>
        <v>NA</v>
      </c>
      <c r="F103" s="317" t="str">
        <f t="shared" si="10"/>
        <v>NA</v>
      </c>
      <c r="G103" s="317" t="str">
        <f t="shared" si="11"/>
        <v>NA</v>
      </c>
      <c r="H103" s="317"/>
      <c r="I103" s="317" t="str">
        <f t="shared" si="16"/>
        <v>Ryan Gerulski</v>
      </c>
      <c r="J103" s="317" t="str">
        <f t="shared" si="12"/>
        <v>NA</v>
      </c>
      <c r="K103" s="317" t="str">
        <f t="shared" si="13"/>
        <v>OPEN POSITION</v>
      </c>
      <c r="L103" s="317" t="str">
        <f t="shared" si="14"/>
        <v>NA</v>
      </c>
      <c r="M103" s="317"/>
      <c r="N103" s="317" t="s">
        <v>1491</v>
      </c>
      <c r="O103" s="285" t="s">
        <v>551</v>
      </c>
      <c r="P103" s="287" t="s">
        <v>547</v>
      </c>
      <c r="Q103" s="290"/>
      <c r="R103" s="296"/>
      <c r="S103" s="297"/>
      <c r="T103" s="297"/>
      <c r="U103" s="283"/>
      <c r="V103" s="283"/>
      <c r="W103" s="262"/>
    </row>
    <row r="104" spans="1:23">
      <c r="A104" s="309" t="s">
        <v>147</v>
      </c>
      <c r="B104" s="313" t="s">
        <v>552</v>
      </c>
      <c r="C104" s="299" t="s">
        <v>68</v>
      </c>
      <c r="D104" s="317" t="str">
        <f t="shared" si="8"/>
        <v>NA</v>
      </c>
      <c r="E104" s="317" t="str">
        <f t="shared" si="9"/>
        <v>NA</v>
      </c>
      <c r="F104" s="317" t="str">
        <f t="shared" si="10"/>
        <v>NA</v>
      </c>
      <c r="G104" s="317" t="str">
        <f t="shared" si="11"/>
        <v>NA</v>
      </c>
      <c r="H104" s="317"/>
      <c r="I104" s="317" t="str">
        <f t="shared" si="16"/>
        <v>Ryan Gerulski</v>
      </c>
      <c r="J104" s="317" t="str">
        <f t="shared" si="12"/>
        <v>NA</v>
      </c>
      <c r="K104" s="317" t="str">
        <f t="shared" si="13"/>
        <v>Ryan Edwards</v>
      </c>
      <c r="L104" s="317" t="str">
        <f t="shared" si="14"/>
        <v>NA</v>
      </c>
      <c r="M104" s="317"/>
      <c r="N104" s="317" t="s">
        <v>1491</v>
      </c>
      <c r="O104" s="285" t="s">
        <v>553</v>
      </c>
      <c r="P104" s="287" t="s">
        <v>554</v>
      </c>
      <c r="Q104" s="290" t="s">
        <v>555</v>
      </c>
      <c r="R104" s="296" t="s">
        <v>556</v>
      </c>
      <c r="S104" s="297" t="s">
        <v>330</v>
      </c>
      <c r="T104" s="283">
        <v>47429</v>
      </c>
      <c r="U104" s="283"/>
      <c r="V104" s="283" t="s">
        <v>557</v>
      </c>
      <c r="W104" s="262" t="s">
        <v>558</v>
      </c>
    </row>
    <row r="105" spans="1:23">
      <c r="A105" s="309" t="s">
        <v>147</v>
      </c>
      <c r="B105" s="313" t="s">
        <v>559</v>
      </c>
      <c r="C105" s="299" t="s">
        <v>68</v>
      </c>
      <c r="D105" s="317" t="str">
        <f t="shared" si="8"/>
        <v>NA</v>
      </c>
      <c r="E105" s="317" t="str">
        <f t="shared" si="9"/>
        <v>NA</v>
      </c>
      <c r="F105" s="317" t="str">
        <f t="shared" si="10"/>
        <v>NA</v>
      </c>
      <c r="G105" s="317" t="str">
        <f t="shared" si="11"/>
        <v>NA</v>
      </c>
      <c r="H105" s="317"/>
      <c r="I105" s="317" t="str">
        <f t="shared" si="16"/>
        <v>Ryan Gerulski</v>
      </c>
      <c r="J105" s="317" t="str">
        <f t="shared" si="12"/>
        <v>NA</v>
      </c>
      <c r="K105" s="317" t="str">
        <f t="shared" si="13"/>
        <v>Brian Palmateer</v>
      </c>
      <c r="L105" s="317" t="str">
        <f t="shared" si="14"/>
        <v>NA</v>
      </c>
      <c r="M105" s="317"/>
      <c r="N105" s="317" t="s">
        <v>1491</v>
      </c>
      <c r="O105" s="285" t="s">
        <v>560</v>
      </c>
      <c r="P105" s="287" t="s">
        <v>561</v>
      </c>
      <c r="Q105" s="290" t="s">
        <v>562</v>
      </c>
      <c r="R105" s="290" t="s">
        <v>563</v>
      </c>
      <c r="S105" s="305" t="s">
        <v>43</v>
      </c>
      <c r="T105" s="305">
        <v>48014</v>
      </c>
      <c r="U105" s="283">
        <v>14326</v>
      </c>
      <c r="V105" s="283" t="s">
        <v>564</v>
      </c>
      <c r="W105" s="262" t="s">
        <v>565</v>
      </c>
    </row>
    <row r="106" spans="1:23">
      <c r="A106" s="309" t="s">
        <v>147</v>
      </c>
      <c r="B106" s="313" t="s">
        <v>566</v>
      </c>
      <c r="C106" s="299" t="s">
        <v>68</v>
      </c>
      <c r="D106" s="317" t="str">
        <f t="shared" si="8"/>
        <v>NA</v>
      </c>
      <c r="E106" s="317" t="str">
        <f t="shared" si="9"/>
        <v>NA</v>
      </c>
      <c r="F106" s="317" t="str">
        <f t="shared" si="10"/>
        <v>NA</v>
      </c>
      <c r="G106" s="317" t="str">
        <f t="shared" si="11"/>
        <v>NA</v>
      </c>
      <c r="H106" s="317"/>
      <c r="I106" s="317" t="str">
        <f t="shared" si="16"/>
        <v>Ryan Gerulski</v>
      </c>
      <c r="J106" s="317" t="str">
        <f t="shared" si="12"/>
        <v>NA</v>
      </c>
      <c r="K106" s="317" t="str">
        <f t="shared" si="13"/>
        <v>Stephanie Taylor</v>
      </c>
      <c r="L106" s="317" t="str">
        <f t="shared" si="14"/>
        <v>NA</v>
      </c>
      <c r="M106" s="317"/>
      <c r="N106" s="317" t="s">
        <v>1491</v>
      </c>
      <c r="O106" s="285" t="s">
        <v>567</v>
      </c>
      <c r="P106" s="287" t="s">
        <v>568</v>
      </c>
      <c r="Q106" s="290" t="s">
        <v>569</v>
      </c>
      <c r="R106" s="290" t="s">
        <v>570</v>
      </c>
      <c r="S106" s="305" t="s">
        <v>43</v>
      </c>
      <c r="T106" s="305">
        <v>49735</v>
      </c>
      <c r="U106" s="283">
        <v>12118</v>
      </c>
      <c r="V106" s="283" t="s">
        <v>571</v>
      </c>
      <c r="W106" s="268" t="s">
        <v>572</v>
      </c>
    </row>
    <row r="107" spans="1:23">
      <c r="A107" s="309" t="s">
        <v>147</v>
      </c>
      <c r="B107" s="313" t="s">
        <v>573</v>
      </c>
      <c r="C107" s="299" t="s">
        <v>68</v>
      </c>
      <c r="D107" s="317" t="str">
        <f t="shared" si="8"/>
        <v>NA</v>
      </c>
      <c r="E107" s="317" t="str">
        <f t="shared" si="9"/>
        <v>NA</v>
      </c>
      <c r="F107" s="317" t="str">
        <f t="shared" si="10"/>
        <v>NA</v>
      </c>
      <c r="G107" s="317" t="str">
        <f t="shared" si="11"/>
        <v>NA</v>
      </c>
      <c r="H107" s="317"/>
      <c r="I107" s="317" t="str">
        <f t="shared" si="16"/>
        <v>Ryan Gerulski</v>
      </c>
      <c r="J107" s="317" t="str">
        <f t="shared" si="12"/>
        <v>NA</v>
      </c>
      <c r="K107" s="317" t="str">
        <f t="shared" si="13"/>
        <v>John Hotter</v>
      </c>
      <c r="L107" s="317" t="str">
        <f t="shared" si="14"/>
        <v>NA</v>
      </c>
      <c r="M107" s="317"/>
      <c r="N107" s="317" t="s">
        <v>1491</v>
      </c>
      <c r="O107" s="285" t="s">
        <v>574</v>
      </c>
      <c r="P107" s="287" t="s">
        <v>561</v>
      </c>
      <c r="Q107" s="290" t="s">
        <v>575</v>
      </c>
      <c r="R107" s="296" t="s">
        <v>576</v>
      </c>
      <c r="S107" s="305" t="s">
        <v>43</v>
      </c>
      <c r="T107" s="305">
        <v>48065</v>
      </c>
      <c r="U107" s="283">
        <v>13361</v>
      </c>
      <c r="V107" s="283" t="s">
        <v>577</v>
      </c>
      <c r="W107" s="262" t="s">
        <v>578</v>
      </c>
    </row>
    <row r="108" spans="1:23">
      <c r="A108" s="309" t="s">
        <v>147</v>
      </c>
      <c r="B108" s="313" t="s">
        <v>579</v>
      </c>
      <c r="C108" s="299" t="s">
        <v>68</v>
      </c>
      <c r="D108" s="317" t="str">
        <f t="shared" si="8"/>
        <v>NA</v>
      </c>
      <c r="E108" s="317" t="str">
        <f t="shared" si="9"/>
        <v>NA</v>
      </c>
      <c r="F108" s="317" t="str">
        <f t="shared" si="10"/>
        <v>NA</v>
      </c>
      <c r="G108" s="317" t="str">
        <f t="shared" si="11"/>
        <v>NA</v>
      </c>
      <c r="H108" s="317"/>
      <c r="I108" s="317" t="str">
        <f t="shared" si="16"/>
        <v>Ryan Gerulski</v>
      </c>
      <c r="J108" s="317" t="str">
        <f t="shared" si="12"/>
        <v>NA</v>
      </c>
      <c r="K108" s="317" t="str">
        <f t="shared" si="13"/>
        <v>David Carbone</v>
      </c>
      <c r="L108" s="317" t="str">
        <f t="shared" si="14"/>
        <v>NA</v>
      </c>
      <c r="M108" s="317"/>
      <c r="N108" s="317" t="s">
        <v>1491</v>
      </c>
      <c r="O108" s="285" t="s">
        <v>580</v>
      </c>
      <c r="P108" s="287" t="s">
        <v>581</v>
      </c>
      <c r="Q108" s="290" t="s">
        <v>582</v>
      </c>
      <c r="R108" s="296" t="s">
        <v>583</v>
      </c>
      <c r="S108" s="297" t="s">
        <v>65</v>
      </c>
      <c r="T108" s="297">
        <v>44240</v>
      </c>
      <c r="U108" s="283">
        <v>25092</v>
      </c>
      <c r="V108" s="283" t="s">
        <v>584</v>
      </c>
      <c r="W108" s="262" t="s">
        <v>585</v>
      </c>
    </row>
    <row r="109" spans="1:23">
      <c r="A109" s="309" t="s">
        <v>147</v>
      </c>
      <c r="B109" s="313" t="s">
        <v>586</v>
      </c>
      <c r="C109" s="299" t="s">
        <v>68</v>
      </c>
      <c r="D109" s="317" t="str">
        <f t="shared" si="8"/>
        <v>NA</v>
      </c>
      <c r="E109" s="317" t="str">
        <f t="shared" si="9"/>
        <v>NA</v>
      </c>
      <c r="F109" s="317" t="str">
        <f t="shared" si="10"/>
        <v>NA</v>
      </c>
      <c r="G109" s="317" t="str">
        <f t="shared" si="11"/>
        <v>NA</v>
      </c>
      <c r="H109" s="317"/>
      <c r="I109" s="317" t="str">
        <f t="shared" si="16"/>
        <v>Ryan Gerulski</v>
      </c>
      <c r="J109" s="317" t="str">
        <f t="shared" si="12"/>
        <v>NA</v>
      </c>
      <c r="K109" s="317" t="str">
        <f t="shared" si="13"/>
        <v>Marvin Dockstader</v>
      </c>
      <c r="L109" s="317" t="str">
        <f t="shared" si="14"/>
        <v>NA</v>
      </c>
      <c r="M109" s="317"/>
      <c r="N109" s="317" t="s">
        <v>1491</v>
      </c>
      <c r="O109" s="285" t="s">
        <v>587</v>
      </c>
      <c r="P109" s="287" t="s">
        <v>588</v>
      </c>
      <c r="Q109" s="290" t="s">
        <v>589</v>
      </c>
      <c r="R109" s="296" t="s">
        <v>590</v>
      </c>
      <c r="S109" s="287" t="s">
        <v>65</v>
      </c>
      <c r="T109" s="287">
        <v>43204</v>
      </c>
      <c r="U109" s="283">
        <v>25105</v>
      </c>
      <c r="V109" s="287" t="s">
        <v>591</v>
      </c>
      <c r="W109" s="262" t="s">
        <v>592</v>
      </c>
    </row>
    <row r="110" spans="1:23">
      <c r="A110" s="309" t="s">
        <v>5</v>
      </c>
      <c r="B110" s="313" t="s">
        <v>568</v>
      </c>
      <c r="C110" s="299" t="s">
        <v>68</v>
      </c>
      <c r="D110" s="317" t="str">
        <f t="shared" si="8"/>
        <v>NA</v>
      </c>
      <c r="E110" s="317" t="str">
        <f t="shared" si="9"/>
        <v>NA</v>
      </c>
      <c r="F110" s="317" t="str">
        <f t="shared" si="10"/>
        <v>NA</v>
      </c>
      <c r="G110" s="317" t="str">
        <f t="shared" si="11"/>
        <v>NA</v>
      </c>
      <c r="H110" s="317"/>
      <c r="I110" s="317" t="str">
        <f t="shared" si="16"/>
        <v>Ryan Gerulski</v>
      </c>
      <c r="J110" s="317" t="str">
        <f t="shared" si="12"/>
        <v>NA</v>
      </c>
      <c r="K110" s="317" t="str">
        <f t="shared" si="13"/>
        <v>NA</v>
      </c>
      <c r="L110" s="317" t="str">
        <f t="shared" si="14"/>
        <v>Tim Weismiller</v>
      </c>
      <c r="M110" s="317"/>
      <c r="N110" s="317" t="s">
        <v>1491</v>
      </c>
      <c r="O110" s="285" t="s">
        <v>567</v>
      </c>
      <c r="P110" s="287"/>
      <c r="Q110" s="290" t="s">
        <v>593</v>
      </c>
      <c r="R110" s="296" t="s">
        <v>594</v>
      </c>
      <c r="S110" s="297" t="s">
        <v>43</v>
      </c>
      <c r="T110" s="297">
        <v>49735</v>
      </c>
      <c r="U110" s="283">
        <v>25055</v>
      </c>
      <c r="V110" s="287" t="s">
        <v>595</v>
      </c>
      <c r="W110" s="262" t="s">
        <v>596</v>
      </c>
    </row>
    <row r="111" spans="1:23">
      <c r="A111" s="309" t="s">
        <v>5</v>
      </c>
      <c r="B111" s="313" t="s">
        <v>597</v>
      </c>
      <c r="C111" s="299" t="s">
        <v>68</v>
      </c>
      <c r="D111" s="317" t="str">
        <f t="shared" si="8"/>
        <v>NA</v>
      </c>
      <c r="E111" s="317" t="str">
        <f t="shared" si="9"/>
        <v>NA</v>
      </c>
      <c r="F111" s="317" t="str">
        <f t="shared" si="10"/>
        <v>NA</v>
      </c>
      <c r="G111" s="317" t="str">
        <f t="shared" si="11"/>
        <v>NA</v>
      </c>
      <c r="H111" s="317"/>
      <c r="I111" s="317" t="str">
        <f t="shared" si="16"/>
        <v>Ryan Gerulski</v>
      </c>
      <c r="J111" s="317" t="str">
        <f t="shared" si="12"/>
        <v>NA</v>
      </c>
      <c r="K111" s="317" t="str">
        <f t="shared" si="13"/>
        <v>NA</v>
      </c>
      <c r="L111" s="317" t="str">
        <f t="shared" si="14"/>
        <v>John Babcock</v>
      </c>
      <c r="M111" s="317"/>
      <c r="N111" s="317" t="s">
        <v>1491</v>
      </c>
      <c r="O111" s="285" t="s">
        <v>598</v>
      </c>
      <c r="P111" s="287"/>
      <c r="Q111" s="290" t="s">
        <v>599</v>
      </c>
      <c r="R111" s="296" t="s">
        <v>600</v>
      </c>
      <c r="S111" s="287" t="s">
        <v>330</v>
      </c>
      <c r="T111" s="283">
        <v>46032</v>
      </c>
      <c r="U111" s="283">
        <v>13372</v>
      </c>
      <c r="V111" s="287" t="s">
        <v>601</v>
      </c>
      <c r="W111" s="262" t="s">
        <v>602</v>
      </c>
    </row>
    <row r="112" spans="1:23">
      <c r="A112" s="309" t="s">
        <v>5</v>
      </c>
      <c r="B112" s="313" t="s">
        <v>603</v>
      </c>
      <c r="C112" s="299" t="s">
        <v>68</v>
      </c>
      <c r="D112" s="317" t="str">
        <f t="shared" si="8"/>
        <v>NA</v>
      </c>
      <c r="E112" s="317" t="str">
        <f t="shared" si="9"/>
        <v>NA</v>
      </c>
      <c r="F112" s="317" t="str">
        <f t="shared" si="10"/>
        <v>NA</v>
      </c>
      <c r="G112" s="317" t="str">
        <f t="shared" si="11"/>
        <v>NA</v>
      </c>
      <c r="H112" s="317"/>
      <c r="I112" s="317" t="str">
        <f t="shared" si="16"/>
        <v>Ryan Gerulski</v>
      </c>
      <c r="J112" s="317" t="str">
        <f t="shared" si="12"/>
        <v>NA</v>
      </c>
      <c r="K112" s="317" t="str">
        <f t="shared" si="13"/>
        <v>NA</v>
      </c>
      <c r="L112" s="317" t="str">
        <f t="shared" si="14"/>
        <v>Michael Stratton</v>
      </c>
      <c r="M112" s="317"/>
      <c r="N112" s="317" t="s">
        <v>1491</v>
      </c>
      <c r="O112" s="285" t="s">
        <v>580</v>
      </c>
      <c r="P112" s="287"/>
      <c r="Q112" s="290" t="s">
        <v>604</v>
      </c>
      <c r="R112" s="296" t="s">
        <v>605</v>
      </c>
      <c r="S112" s="287" t="s">
        <v>65</v>
      </c>
      <c r="T112" s="287">
        <v>44720</v>
      </c>
      <c r="U112" s="283">
        <v>13372</v>
      </c>
      <c r="V112" s="287" t="s">
        <v>606</v>
      </c>
      <c r="W112" s="262" t="s">
        <v>607</v>
      </c>
    </row>
    <row r="113" spans="1:23">
      <c r="A113" s="309" t="s">
        <v>5</v>
      </c>
      <c r="B113" s="313" t="s">
        <v>561</v>
      </c>
      <c r="C113" s="299" t="s">
        <v>68</v>
      </c>
      <c r="D113" s="317" t="str">
        <f t="shared" si="8"/>
        <v>NA</v>
      </c>
      <c r="E113" s="317" t="str">
        <f t="shared" si="9"/>
        <v>NA</v>
      </c>
      <c r="F113" s="317" t="str">
        <f t="shared" si="10"/>
        <v>NA</v>
      </c>
      <c r="G113" s="317" t="str">
        <f t="shared" si="11"/>
        <v>NA</v>
      </c>
      <c r="H113" s="317"/>
      <c r="I113" s="317" t="str">
        <f t="shared" si="16"/>
        <v>Ryan Gerulski</v>
      </c>
      <c r="J113" s="317" t="str">
        <f t="shared" si="12"/>
        <v>NA</v>
      </c>
      <c r="K113" s="317" t="str">
        <f t="shared" si="13"/>
        <v>NA</v>
      </c>
      <c r="L113" s="317" t="str">
        <f t="shared" si="14"/>
        <v>Gary Moore</v>
      </c>
      <c r="M113" s="317"/>
      <c r="N113" s="317" t="s">
        <v>1491</v>
      </c>
      <c r="O113" s="285" t="s">
        <v>608</v>
      </c>
      <c r="P113" s="287"/>
      <c r="Q113" s="290" t="s">
        <v>609</v>
      </c>
      <c r="R113" s="296" t="s">
        <v>610</v>
      </c>
      <c r="S113" s="287" t="s">
        <v>43</v>
      </c>
      <c r="T113" s="283">
        <v>49076</v>
      </c>
      <c r="U113" s="283">
        <v>13378</v>
      </c>
      <c r="V113" s="287" t="s">
        <v>611</v>
      </c>
      <c r="W113" s="262" t="s">
        <v>612</v>
      </c>
    </row>
    <row r="114" spans="1:23">
      <c r="A114" s="309" t="s">
        <v>5</v>
      </c>
      <c r="B114" s="313" t="s">
        <v>36</v>
      </c>
      <c r="C114" s="299" t="s">
        <v>68</v>
      </c>
      <c r="D114" s="317" t="str">
        <f t="shared" si="8"/>
        <v>NA</v>
      </c>
      <c r="E114" s="317" t="str">
        <f t="shared" si="9"/>
        <v>NA</v>
      </c>
      <c r="F114" s="317" t="str">
        <f t="shared" si="10"/>
        <v>NA</v>
      </c>
      <c r="G114" s="317" t="str">
        <f t="shared" si="11"/>
        <v>NA</v>
      </c>
      <c r="H114" s="317"/>
      <c r="I114" s="317" t="str">
        <f t="shared" si="16"/>
        <v>Ryan Gerulski</v>
      </c>
      <c r="J114" s="317" t="str">
        <f t="shared" si="12"/>
        <v>NA</v>
      </c>
      <c r="K114" s="317" t="str">
        <f t="shared" si="13"/>
        <v>NA</v>
      </c>
      <c r="L114" s="317" t="str">
        <f t="shared" si="14"/>
        <v>OPEN POSITION</v>
      </c>
      <c r="M114" s="317"/>
      <c r="N114" s="317" t="s">
        <v>1491</v>
      </c>
      <c r="O114" s="285" t="s">
        <v>553</v>
      </c>
      <c r="P114" s="287"/>
      <c r="Q114" s="290"/>
      <c r="R114" s="296"/>
      <c r="S114" s="287"/>
      <c r="T114" s="287"/>
      <c r="U114" s="283"/>
      <c r="V114" s="287"/>
      <c r="W114" s="262"/>
    </row>
    <row r="115" spans="1:23" ht="26.25">
      <c r="A115" s="310" t="s">
        <v>126</v>
      </c>
      <c r="B115" s="314" t="s">
        <v>613</v>
      </c>
      <c r="C115" s="245" t="s">
        <v>614</v>
      </c>
      <c r="D115" s="317" t="str">
        <f t="shared" si="8"/>
        <v>NA</v>
      </c>
      <c r="E115" s="317" t="str">
        <f t="shared" si="9"/>
        <v>NA</v>
      </c>
      <c r="F115" s="317" t="str">
        <f t="shared" si="10"/>
        <v>NA</v>
      </c>
      <c r="G115" s="317" t="str">
        <f t="shared" si="11"/>
        <v>NA</v>
      </c>
      <c r="H115" s="317"/>
      <c r="I115" s="317" t="str">
        <f t="shared" si="16"/>
        <v>Ryan Gerulski</v>
      </c>
      <c r="J115" s="317" t="str">
        <f t="shared" si="12"/>
        <v>Jeremy Sellars</v>
      </c>
      <c r="K115" s="317" t="str">
        <f t="shared" si="13"/>
        <v>NA</v>
      </c>
      <c r="L115" s="317" t="str">
        <f t="shared" si="14"/>
        <v>NA</v>
      </c>
      <c r="M115" s="317"/>
      <c r="N115" s="317" t="s">
        <v>1491</v>
      </c>
      <c r="O115" s="245"/>
      <c r="P115" s="245"/>
      <c r="Q115" s="243" t="s">
        <v>615</v>
      </c>
      <c r="R115" s="243" t="s">
        <v>616</v>
      </c>
      <c r="S115" s="243" t="s">
        <v>57</v>
      </c>
      <c r="T115" s="243">
        <v>37890</v>
      </c>
      <c r="U115" s="248"/>
      <c r="V115" s="248" t="s">
        <v>617</v>
      </c>
      <c r="W115" s="268" t="s">
        <v>618</v>
      </c>
    </row>
    <row r="116" spans="1:23">
      <c r="A116" s="310" t="s">
        <v>135</v>
      </c>
      <c r="B116" s="314" t="s">
        <v>619</v>
      </c>
      <c r="C116" s="318" t="s">
        <v>625</v>
      </c>
      <c r="D116" s="317" t="str">
        <f t="shared" si="8"/>
        <v>Megan Eno</v>
      </c>
      <c r="E116" s="317" t="str">
        <f t="shared" si="9"/>
        <v>NA</v>
      </c>
      <c r="F116" s="317" t="str">
        <f t="shared" si="10"/>
        <v>NA</v>
      </c>
      <c r="G116" s="317" t="str">
        <f t="shared" si="11"/>
        <v>NA</v>
      </c>
      <c r="H116" s="317"/>
      <c r="I116" s="317" t="str">
        <f t="shared" si="16"/>
        <v>Ryan Gerulski</v>
      </c>
      <c r="J116" s="317" t="str">
        <f t="shared" si="12"/>
        <v>NA</v>
      </c>
      <c r="K116" s="317" t="str">
        <f t="shared" si="13"/>
        <v>NA</v>
      </c>
      <c r="L116" s="317" t="str">
        <f t="shared" si="14"/>
        <v>NA</v>
      </c>
      <c r="M116" s="317"/>
      <c r="N116" s="317" t="s">
        <v>1491</v>
      </c>
      <c r="O116" s="245"/>
      <c r="P116" s="244"/>
      <c r="Q116" s="246" t="s">
        <v>620</v>
      </c>
      <c r="R116" s="247" t="s">
        <v>621</v>
      </c>
      <c r="S116" s="244" t="s">
        <v>18</v>
      </c>
      <c r="T116" s="244">
        <v>54409</v>
      </c>
      <c r="U116" s="248">
        <v>12110</v>
      </c>
      <c r="V116" s="248" t="s">
        <v>622</v>
      </c>
      <c r="W116" s="268" t="s">
        <v>623</v>
      </c>
    </row>
    <row r="117" spans="1:23">
      <c r="A117" s="309" t="s">
        <v>147</v>
      </c>
      <c r="B117" s="313" t="s">
        <v>624</v>
      </c>
      <c r="C117" s="300" t="s">
        <v>625</v>
      </c>
      <c r="D117" s="317" t="str">
        <f t="shared" si="8"/>
        <v>NA</v>
      </c>
      <c r="E117" s="317" t="str">
        <f t="shared" si="9"/>
        <v>NA</v>
      </c>
      <c r="F117" s="317" t="str">
        <f t="shared" si="10"/>
        <v>NA</v>
      </c>
      <c r="G117" s="317" t="str">
        <f t="shared" si="11"/>
        <v>NA</v>
      </c>
      <c r="H117" s="317"/>
      <c r="I117" s="317" t="str">
        <f t="shared" si="16"/>
        <v>Ryan Gerulski</v>
      </c>
      <c r="J117" s="317" t="str">
        <f t="shared" si="12"/>
        <v>NA</v>
      </c>
      <c r="K117" s="317" t="str">
        <f t="shared" si="13"/>
        <v>Christopher Hudson</v>
      </c>
      <c r="L117" s="317" t="str">
        <f t="shared" si="14"/>
        <v>NA</v>
      </c>
      <c r="M117" s="317"/>
      <c r="N117" s="317" t="s">
        <v>1491</v>
      </c>
      <c r="O117" s="285" t="s">
        <v>626</v>
      </c>
      <c r="P117" s="287" t="s">
        <v>627</v>
      </c>
      <c r="Q117" s="290" t="s">
        <v>628</v>
      </c>
      <c r="R117" s="296" t="s">
        <v>629</v>
      </c>
      <c r="S117" s="287" t="s">
        <v>57</v>
      </c>
      <c r="T117" s="287">
        <v>37128</v>
      </c>
      <c r="U117" s="283"/>
      <c r="V117" s="283" t="s">
        <v>630</v>
      </c>
      <c r="W117" s="268" t="s">
        <v>631</v>
      </c>
    </row>
    <row r="118" spans="1:23">
      <c r="A118" s="309" t="s">
        <v>147</v>
      </c>
      <c r="B118" s="313" t="s">
        <v>632</v>
      </c>
      <c r="C118" s="300" t="s">
        <v>625</v>
      </c>
      <c r="D118" s="317" t="str">
        <f t="shared" si="8"/>
        <v>NA</v>
      </c>
      <c r="E118" s="317" t="str">
        <f t="shared" si="9"/>
        <v>NA</v>
      </c>
      <c r="F118" s="317" t="str">
        <f t="shared" si="10"/>
        <v>NA</v>
      </c>
      <c r="G118" s="317" t="str">
        <f t="shared" si="11"/>
        <v>NA</v>
      </c>
      <c r="H118" s="317"/>
      <c r="I118" s="317" t="str">
        <f t="shared" si="16"/>
        <v>Ryan Gerulski</v>
      </c>
      <c r="J118" s="317" t="str">
        <f t="shared" si="12"/>
        <v>NA</v>
      </c>
      <c r="K118" s="317" t="str">
        <f t="shared" si="13"/>
        <v>Lane Draper</v>
      </c>
      <c r="L118" s="317" t="str">
        <f t="shared" si="14"/>
        <v>NA</v>
      </c>
      <c r="M118" s="317"/>
      <c r="N118" s="317" t="s">
        <v>1491</v>
      </c>
      <c r="O118" s="285" t="s">
        <v>633</v>
      </c>
      <c r="P118" s="287" t="s">
        <v>634</v>
      </c>
      <c r="Q118" s="290" t="s">
        <v>635</v>
      </c>
      <c r="R118" s="296" t="s">
        <v>636</v>
      </c>
      <c r="S118" s="287" t="s">
        <v>637</v>
      </c>
      <c r="T118" s="287">
        <v>35242</v>
      </c>
      <c r="U118" s="283">
        <v>25103</v>
      </c>
      <c r="V118" s="283" t="s">
        <v>638</v>
      </c>
      <c r="W118" s="277" t="s">
        <v>639</v>
      </c>
    </row>
    <row r="119" spans="1:23">
      <c r="A119" s="309" t="s">
        <v>147</v>
      </c>
      <c r="B119" s="313" t="s">
        <v>640</v>
      </c>
      <c r="C119" s="300" t="s">
        <v>625</v>
      </c>
      <c r="D119" s="317" t="str">
        <f t="shared" si="8"/>
        <v>NA</v>
      </c>
      <c r="E119" s="317" t="str">
        <f t="shared" si="9"/>
        <v>NA</v>
      </c>
      <c r="F119" s="317" t="str">
        <f t="shared" si="10"/>
        <v>NA</v>
      </c>
      <c r="G119" s="317" t="str">
        <f t="shared" si="11"/>
        <v>NA</v>
      </c>
      <c r="H119" s="317"/>
      <c r="I119" s="317" t="str">
        <f t="shared" si="16"/>
        <v>Ryan Gerulski</v>
      </c>
      <c r="J119" s="317" t="str">
        <f t="shared" si="12"/>
        <v>NA</v>
      </c>
      <c r="K119" s="317" t="str">
        <f t="shared" si="13"/>
        <v>Lori Bryant</v>
      </c>
      <c r="L119" s="317" t="str">
        <f t="shared" si="14"/>
        <v>NA</v>
      </c>
      <c r="M119" s="317"/>
      <c r="N119" s="317" t="s">
        <v>1491</v>
      </c>
      <c r="O119" s="285" t="s">
        <v>641</v>
      </c>
      <c r="P119" s="287" t="s">
        <v>642</v>
      </c>
      <c r="Q119" s="290" t="s">
        <v>643</v>
      </c>
      <c r="R119" s="296" t="s">
        <v>644</v>
      </c>
      <c r="S119" s="287" t="s">
        <v>57</v>
      </c>
      <c r="T119" s="287">
        <v>37922</v>
      </c>
      <c r="U119" s="283"/>
      <c r="V119" s="283" t="s">
        <v>645</v>
      </c>
      <c r="W119" s="268" t="s">
        <v>646</v>
      </c>
    </row>
    <row r="120" spans="1:23">
      <c r="A120" s="309" t="s">
        <v>147</v>
      </c>
      <c r="B120" s="313" t="s">
        <v>647</v>
      </c>
      <c r="C120" s="299" t="s">
        <v>625</v>
      </c>
      <c r="D120" s="317" t="str">
        <f t="shared" si="8"/>
        <v>NA</v>
      </c>
      <c r="E120" s="317" t="str">
        <f t="shared" si="9"/>
        <v>NA</v>
      </c>
      <c r="F120" s="317" t="str">
        <f t="shared" si="10"/>
        <v>NA</v>
      </c>
      <c r="G120" s="317" t="str">
        <f t="shared" si="11"/>
        <v>NA</v>
      </c>
      <c r="H120" s="317"/>
      <c r="I120" s="317" t="str">
        <f t="shared" si="16"/>
        <v>Ryan Gerulski</v>
      </c>
      <c r="J120" s="317" t="str">
        <f t="shared" si="12"/>
        <v>NA</v>
      </c>
      <c r="K120" s="317" t="str">
        <f t="shared" si="13"/>
        <v>Jim Allman</v>
      </c>
      <c r="L120" s="317" t="str">
        <f t="shared" si="14"/>
        <v>NA</v>
      </c>
      <c r="M120" s="317"/>
      <c r="N120" s="317" t="s">
        <v>1491</v>
      </c>
      <c r="O120" s="285" t="s">
        <v>648</v>
      </c>
      <c r="P120" s="287" t="s">
        <v>649</v>
      </c>
      <c r="Q120" s="290" t="s">
        <v>650</v>
      </c>
      <c r="R120" s="296" t="s">
        <v>651</v>
      </c>
      <c r="S120" s="287" t="s">
        <v>330</v>
      </c>
      <c r="T120" s="283">
        <v>47138</v>
      </c>
      <c r="U120" s="283">
        <v>13368</v>
      </c>
      <c r="V120" s="287" t="s">
        <v>652</v>
      </c>
      <c r="W120" s="277" t="s">
        <v>653</v>
      </c>
    </row>
    <row r="121" spans="1:23">
      <c r="A121" s="309" t="s">
        <v>147</v>
      </c>
      <c r="B121" s="313" t="s">
        <v>654</v>
      </c>
      <c r="C121" s="300" t="s">
        <v>625</v>
      </c>
      <c r="D121" s="317" t="str">
        <f t="shared" si="8"/>
        <v>NA</v>
      </c>
      <c r="E121" s="317" t="str">
        <f t="shared" si="9"/>
        <v>NA</v>
      </c>
      <c r="F121" s="317" t="str">
        <f t="shared" si="10"/>
        <v>NA</v>
      </c>
      <c r="G121" s="317" t="str">
        <f t="shared" si="11"/>
        <v>NA</v>
      </c>
      <c r="H121" s="317"/>
      <c r="I121" s="317" t="str">
        <f t="shared" si="16"/>
        <v>Ryan Gerulski</v>
      </c>
      <c r="J121" s="317" t="str">
        <f t="shared" si="12"/>
        <v>NA</v>
      </c>
      <c r="K121" s="317" t="str">
        <f t="shared" si="13"/>
        <v>Shana Cooper</v>
      </c>
      <c r="L121" s="317" t="str">
        <f t="shared" si="14"/>
        <v>NA</v>
      </c>
      <c r="M121" s="317"/>
      <c r="N121" s="317" t="s">
        <v>1491</v>
      </c>
      <c r="O121" s="285" t="s">
        <v>655</v>
      </c>
      <c r="P121" s="287" t="s">
        <v>656</v>
      </c>
      <c r="Q121" s="290" t="s">
        <v>657</v>
      </c>
      <c r="R121" s="296" t="s">
        <v>658</v>
      </c>
      <c r="S121" s="287" t="s">
        <v>57</v>
      </c>
      <c r="T121" s="287">
        <v>37415</v>
      </c>
      <c r="U121" s="283"/>
      <c r="V121" s="287" t="s">
        <v>659</v>
      </c>
      <c r="W121" s="278" t="s">
        <v>660</v>
      </c>
    </row>
    <row r="122" spans="1:23">
      <c r="A122" s="309" t="s">
        <v>5</v>
      </c>
      <c r="B122" s="313" t="s">
        <v>627</v>
      </c>
      <c r="C122" s="300" t="s">
        <v>625</v>
      </c>
      <c r="D122" s="317" t="str">
        <f t="shared" si="8"/>
        <v>NA</v>
      </c>
      <c r="E122" s="317" t="str">
        <f t="shared" si="9"/>
        <v>NA</v>
      </c>
      <c r="F122" s="317" t="str">
        <f t="shared" si="10"/>
        <v>NA</v>
      </c>
      <c r="G122" s="317" t="str">
        <f t="shared" si="11"/>
        <v>NA</v>
      </c>
      <c r="H122" s="317"/>
      <c r="I122" s="317" t="str">
        <f t="shared" si="16"/>
        <v>Ryan Gerulski</v>
      </c>
      <c r="J122" s="317" t="str">
        <f t="shared" si="12"/>
        <v>NA</v>
      </c>
      <c r="K122" s="317" t="str">
        <f t="shared" si="13"/>
        <v>NA</v>
      </c>
      <c r="L122" s="317" t="str">
        <f t="shared" si="14"/>
        <v>Jacob Murray</v>
      </c>
      <c r="M122" s="317"/>
      <c r="N122" s="317" t="s">
        <v>1491</v>
      </c>
      <c r="O122" s="285" t="s">
        <v>626</v>
      </c>
      <c r="Q122" s="290" t="s">
        <v>661</v>
      </c>
      <c r="R122" s="296" t="s">
        <v>662</v>
      </c>
      <c r="S122" s="287" t="s">
        <v>57</v>
      </c>
      <c r="T122" s="287">
        <v>37059</v>
      </c>
      <c r="U122" s="287">
        <v>9402</v>
      </c>
      <c r="V122" s="287" t="s">
        <v>663</v>
      </c>
      <c r="W122" s="278" t="s">
        <v>664</v>
      </c>
    </row>
    <row r="123" spans="1:23">
      <c r="A123" s="309" t="s">
        <v>5</v>
      </c>
      <c r="B123" s="313" t="s">
        <v>656</v>
      </c>
      <c r="C123" s="300" t="s">
        <v>625</v>
      </c>
      <c r="D123" s="317" t="str">
        <f t="shared" si="8"/>
        <v>NA</v>
      </c>
      <c r="E123" s="317" t="str">
        <f t="shared" si="9"/>
        <v>NA</v>
      </c>
      <c r="F123" s="317" t="str">
        <f t="shared" si="10"/>
        <v>NA</v>
      </c>
      <c r="G123" s="317" t="str">
        <f t="shared" si="11"/>
        <v>NA</v>
      </c>
      <c r="H123" s="317"/>
      <c r="I123" s="317" t="str">
        <f t="shared" si="16"/>
        <v>Ryan Gerulski</v>
      </c>
      <c r="J123" s="317" t="str">
        <f t="shared" si="12"/>
        <v>NA</v>
      </c>
      <c r="K123" s="317" t="str">
        <f t="shared" si="13"/>
        <v>NA</v>
      </c>
      <c r="L123" s="317" t="str">
        <f t="shared" si="14"/>
        <v>Andy Chambers</v>
      </c>
      <c r="M123" s="317"/>
      <c r="N123" s="317" t="s">
        <v>1491</v>
      </c>
      <c r="O123" s="285" t="s">
        <v>655</v>
      </c>
      <c r="Q123" s="290" t="s">
        <v>665</v>
      </c>
      <c r="R123" s="296" t="s">
        <v>666</v>
      </c>
      <c r="S123" s="287" t="s">
        <v>667</v>
      </c>
      <c r="T123" s="287">
        <v>30189</v>
      </c>
      <c r="U123" s="287">
        <v>14339</v>
      </c>
      <c r="V123" s="287">
        <v>470.31669740000001</v>
      </c>
      <c r="W123" s="270" t="s">
        <v>668</v>
      </c>
    </row>
    <row r="124" spans="1:23">
      <c r="A124" s="309" t="s">
        <v>5</v>
      </c>
      <c r="B124" s="313" t="s">
        <v>649</v>
      </c>
      <c r="C124" s="299" t="s">
        <v>625</v>
      </c>
      <c r="D124" s="317" t="str">
        <f t="shared" si="8"/>
        <v>NA</v>
      </c>
      <c r="E124" s="317" t="str">
        <f t="shared" si="9"/>
        <v>NA</v>
      </c>
      <c r="F124" s="317" t="str">
        <f t="shared" si="10"/>
        <v>NA</v>
      </c>
      <c r="G124" s="317" t="str">
        <f t="shared" si="11"/>
        <v>NA</v>
      </c>
      <c r="H124" s="317"/>
      <c r="I124" s="317" t="str">
        <f t="shared" si="16"/>
        <v>Ryan Gerulski</v>
      </c>
      <c r="J124" s="317" t="str">
        <f t="shared" si="12"/>
        <v>NA</v>
      </c>
      <c r="K124" s="317" t="str">
        <f t="shared" si="13"/>
        <v>NA</v>
      </c>
      <c r="L124" s="317" t="str">
        <f t="shared" si="14"/>
        <v>James Crutcher</v>
      </c>
      <c r="M124" s="317"/>
      <c r="N124" s="317" t="s">
        <v>1491</v>
      </c>
      <c r="O124" s="285" t="s">
        <v>648</v>
      </c>
      <c r="P124" s="287"/>
      <c r="Q124" s="290" t="s">
        <v>669</v>
      </c>
      <c r="R124" s="296" t="s">
        <v>670</v>
      </c>
      <c r="S124" s="297" t="s">
        <v>671</v>
      </c>
      <c r="T124" s="283">
        <v>40152</v>
      </c>
      <c r="U124" s="283"/>
      <c r="V124" s="283" t="s">
        <v>672</v>
      </c>
      <c r="W124" s="277" t="s">
        <v>673</v>
      </c>
    </row>
    <row r="125" spans="1:23">
      <c r="A125" s="309" t="s">
        <v>5</v>
      </c>
      <c r="B125" s="313" t="s">
        <v>634</v>
      </c>
      <c r="C125" s="300" t="s">
        <v>625</v>
      </c>
      <c r="D125" s="317" t="str">
        <f t="shared" si="8"/>
        <v>NA</v>
      </c>
      <c r="E125" s="317" t="str">
        <f t="shared" si="9"/>
        <v>NA</v>
      </c>
      <c r="F125" s="317" t="str">
        <f t="shared" si="10"/>
        <v>NA</v>
      </c>
      <c r="G125" s="317" t="str">
        <f t="shared" si="11"/>
        <v>NA</v>
      </c>
      <c r="H125" s="317"/>
      <c r="I125" s="317" t="str">
        <f t="shared" si="16"/>
        <v>Ryan Gerulski</v>
      </c>
      <c r="J125" s="317" t="str">
        <f t="shared" si="12"/>
        <v>NA</v>
      </c>
      <c r="K125" s="317" t="str">
        <f t="shared" si="13"/>
        <v>NA</v>
      </c>
      <c r="L125" s="317" t="str">
        <f t="shared" si="14"/>
        <v>Chad Kempfer</v>
      </c>
      <c r="M125" s="317"/>
      <c r="N125" s="317" t="s">
        <v>1491</v>
      </c>
      <c r="O125" s="285" t="s">
        <v>633</v>
      </c>
      <c r="P125" s="287"/>
      <c r="Q125" s="290" t="s">
        <v>674</v>
      </c>
      <c r="R125" s="296" t="s">
        <v>675</v>
      </c>
      <c r="S125" s="287" t="s">
        <v>637</v>
      </c>
      <c r="T125" s="287">
        <v>35976</v>
      </c>
      <c r="U125" s="283">
        <v>25104</v>
      </c>
      <c r="V125" s="283" t="s">
        <v>676</v>
      </c>
      <c r="W125" s="277" t="s">
        <v>677</v>
      </c>
    </row>
    <row r="126" spans="1:23">
      <c r="A126" s="309" t="s">
        <v>5</v>
      </c>
      <c r="B126" s="313" t="s">
        <v>642</v>
      </c>
      <c r="C126" s="300" t="s">
        <v>625</v>
      </c>
      <c r="D126" s="317" t="str">
        <f t="shared" si="8"/>
        <v>NA</v>
      </c>
      <c r="E126" s="317" t="str">
        <f t="shared" si="9"/>
        <v>NA</v>
      </c>
      <c r="F126" s="317" t="str">
        <f t="shared" si="10"/>
        <v>NA</v>
      </c>
      <c r="G126" s="317" t="str">
        <f t="shared" si="11"/>
        <v>NA</v>
      </c>
      <c r="H126" s="317"/>
      <c r="I126" s="317" t="str">
        <f t="shared" si="16"/>
        <v>Ryan Gerulski</v>
      </c>
      <c r="J126" s="317" t="str">
        <f t="shared" si="12"/>
        <v>NA</v>
      </c>
      <c r="K126" s="317" t="str">
        <f t="shared" si="13"/>
        <v>NA</v>
      </c>
      <c r="L126" s="317" t="str">
        <f t="shared" si="14"/>
        <v>Terry Brown</v>
      </c>
      <c r="M126" s="317"/>
      <c r="N126" s="317" t="s">
        <v>1491</v>
      </c>
      <c r="O126" s="285" t="s">
        <v>678</v>
      </c>
      <c r="P126" s="287"/>
      <c r="Q126" s="290" t="s">
        <v>679</v>
      </c>
      <c r="R126" s="296" t="s">
        <v>680</v>
      </c>
      <c r="S126" s="287" t="s">
        <v>57</v>
      </c>
      <c r="T126" s="287">
        <v>37721</v>
      </c>
      <c r="U126" s="283">
        <v>14363</v>
      </c>
      <c r="V126" s="283" t="s">
        <v>681</v>
      </c>
      <c r="W126" s="277" t="s">
        <v>682</v>
      </c>
    </row>
    <row r="127" spans="1:23">
      <c r="A127" s="310" t="s">
        <v>126</v>
      </c>
      <c r="B127" s="314" t="s">
        <v>683</v>
      </c>
      <c r="C127" s="318" t="s">
        <v>684</v>
      </c>
      <c r="D127" s="317" t="str">
        <f t="shared" si="8"/>
        <v>NA</v>
      </c>
      <c r="E127" s="317" t="str">
        <f t="shared" si="9"/>
        <v>NA</v>
      </c>
      <c r="F127" s="317" t="str">
        <f t="shared" si="10"/>
        <v>NA</v>
      </c>
      <c r="G127" s="317" t="str">
        <f t="shared" si="11"/>
        <v>NA</v>
      </c>
      <c r="H127" s="317"/>
      <c r="I127" s="317" t="str">
        <f t="shared" si="16"/>
        <v>Ryan Gerulski</v>
      </c>
      <c r="J127" s="317" t="str">
        <f t="shared" si="12"/>
        <v>Paul Connelly</v>
      </c>
      <c r="K127" s="317" t="str">
        <f t="shared" si="13"/>
        <v>NA</v>
      </c>
      <c r="L127" s="317" t="str">
        <f t="shared" si="14"/>
        <v>NA</v>
      </c>
      <c r="M127" s="317"/>
      <c r="N127" s="317" t="s">
        <v>1491</v>
      </c>
      <c r="O127" s="245"/>
      <c r="P127" s="244"/>
      <c r="Q127" s="246" t="s">
        <v>685</v>
      </c>
      <c r="R127" s="247" t="s">
        <v>686</v>
      </c>
      <c r="S127" s="244" t="s">
        <v>687</v>
      </c>
      <c r="T127" s="244">
        <v>18222</v>
      </c>
      <c r="U127" s="248"/>
      <c r="V127" s="248" t="s">
        <v>688</v>
      </c>
      <c r="W127" s="268" t="s">
        <v>689</v>
      </c>
    </row>
    <row r="128" spans="1:23">
      <c r="A128" s="310" t="s">
        <v>135</v>
      </c>
      <c r="B128" s="314" t="s">
        <v>472</v>
      </c>
      <c r="C128" s="318" t="s">
        <v>690</v>
      </c>
      <c r="D128" s="317" t="str">
        <f t="shared" si="8"/>
        <v>Keith Seubert</v>
      </c>
      <c r="E128" s="317" t="str">
        <f t="shared" si="9"/>
        <v>NA</v>
      </c>
      <c r="F128" s="317" t="str">
        <f t="shared" si="10"/>
        <v>NA</v>
      </c>
      <c r="G128" s="317" t="str">
        <f t="shared" si="11"/>
        <v>NA</v>
      </c>
      <c r="H128" s="317"/>
      <c r="I128" s="317" t="str">
        <f t="shared" si="16"/>
        <v>Ryan Gerulski</v>
      </c>
      <c r="J128" s="317" t="str">
        <f t="shared" si="12"/>
        <v>NA</v>
      </c>
      <c r="K128" s="317" t="str">
        <f t="shared" si="13"/>
        <v>NA</v>
      </c>
      <c r="L128" s="317" t="str">
        <f t="shared" si="14"/>
        <v>NA</v>
      </c>
      <c r="M128" s="317"/>
      <c r="N128" s="317" t="s">
        <v>1491</v>
      </c>
      <c r="O128" s="245"/>
      <c r="P128" s="244"/>
      <c r="Q128" s="246" t="s">
        <v>473</v>
      </c>
      <c r="R128" s="247" t="s">
        <v>474</v>
      </c>
      <c r="S128" s="244" t="s">
        <v>18</v>
      </c>
      <c r="T128" s="244">
        <v>54448</v>
      </c>
      <c r="U128" s="248">
        <v>13317</v>
      </c>
      <c r="V128" s="248"/>
      <c r="W128" s="262" t="s">
        <v>475</v>
      </c>
    </row>
    <row r="129" spans="1:23">
      <c r="A129" s="310" t="s">
        <v>147</v>
      </c>
      <c r="B129" s="314" t="s">
        <v>691</v>
      </c>
      <c r="C129" s="318" t="s">
        <v>690</v>
      </c>
      <c r="D129" s="317" t="str">
        <f t="shared" si="8"/>
        <v>NA</v>
      </c>
      <c r="E129" s="317" t="str">
        <f t="shared" si="9"/>
        <v>NA</v>
      </c>
      <c r="F129" s="317" t="str">
        <f t="shared" si="10"/>
        <v>NA</v>
      </c>
      <c r="G129" s="317" t="str">
        <f t="shared" si="11"/>
        <v>NA</v>
      </c>
      <c r="H129" s="317"/>
      <c r="I129" s="317" t="str">
        <f t="shared" si="16"/>
        <v>Ryan Gerulski</v>
      </c>
      <c r="J129" s="317" t="str">
        <f t="shared" si="12"/>
        <v>NA</v>
      </c>
      <c r="K129" s="317" t="str">
        <f t="shared" si="13"/>
        <v>Aaron Foreman</v>
      </c>
      <c r="L129" s="317" t="str">
        <f t="shared" si="14"/>
        <v>NA</v>
      </c>
      <c r="M129" s="317"/>
      <c r="N129" s="317" t="s">
        <v>1491</v>
      </c>
      <c r="O129" s="245" t="s">
        <v>692</v>
      </c>
      <c r="P129" s="244"/>
      <c r="Q129" s="246" t="s">
        <v>693</v>
      </c>
      <c r="R129" s="247" t="s">
        <v>694</v>
      </c>
      <c r="S129" s="244" t="s">
        <v>695</v>
      </c>
      <c r="T129" s="244" t="s">
        <v>696</v>
      </c>
      <c r="U129" s="248"/>
      <c r="V129" s="283" t="s">
        <v>697</v>
      </c>
      <c r="W129" s="268" t="s">
        <v>698</v>
      </c>
    </row>
    <row r="130" spans="1:23">
      <c r="A130" s="309" t="s">
        <v>147</v>
      </c>
      <c r="B130" s="313" t="s">
        <v>699</v>
      </c>
      <c r="C130" s="299" t="s">
        <v>690</v>
      </c>
      <c r="D130" s="317" t="str">
        <f t="shared" si="8"/>
        <v>NA</v>
      </c>
      <c r="E130" s="317" t="str">
        <f t="shared" si="9"/>
        <v>NA</v>
      </c>
      <c r="F130" s="317" t="str">
        <f t="shared" si="10"/>
        <v>NA</v>
      </c>
      <c r="G130" s="317" t="str">
        <f t="shared" si="11"/>
        <v>NA</v>
      </c>
      <c r="H130" s="317"/>
      <c r="I130" s="317" t="str">
        <f t="shared" si="16"/>
        <v>Ryan Gerulski</v>
      </c>
      <c r="J130" s="317" t="str">
        <f t="shared" si="12"/>
        <v>NA</v>
      </c>
      <c r="K130" s="317" t="str">
        <f t="shared" si="13"/>
        <v>Matt Barnes</v>
      </c>
      <c r="L130" s="317" t="str">
        <f t="shared" si="14"/>
        <v>NA</v>
      </c>
      <c r="M130" s="317"/>
      <c r="N130" s="317" t="s">
        <v>1491</v>
      </c>
      <c r="O130" s="285" t="s">
        <v>700</v>
      </c>
      <c r="P130" s="287"/>
      <c r="Q130" s="290" t="s">
        <v>701</v>
      </c>
      <c r="R130" s="296" t="s">
        <v>702</v>
      </c>
      <c r="S130" s="287" t="s">
        <v>703</v>
      </c>
      <c r="T130" s="287" t="s">
        <v>704</v>
      </c>
      <c r="V130" s="287" t="s">
        <v>705</v>
      </c>
      <c r="W130" s="268" t="s">
        <v>706</v>
      </c>
    </row>
    <row r="131" spans="1:23">
      <c r="A131" s="309" t="s">
        <v>147</v>
      </c>
      <c r="B131" s="313" t="s">
        <v>707</v>
      </c>
      <c r="C131" s="299" t="s">
        <v>690</v>
      </c>
      <c r="D131" s="317" t="str">
        <f t="shared" ref="D131:D149" si="17">IF(A131="Regional Business Partner",B131,"NA")</f>
        <v>NA</v>
      </c>
      <c r="E131" s="317" t="str">
        <f t="shared" ref="E131:E149" si="18">IF(A131="National Accounts Manager",B131,"NA")</f>
        <v>NA</v>
      </c>
      <c r="F131" s="317" t="str">
        <f t="shared" ref="F131:F149" si="19">IF(A131="Waudena Territory Manager",B131,"NA")</f>
        <v>NA</v>
      </c>
      <c r="G131" s="317" t="str">
        <f t="shared" ref="G131:G149" si="20">IF(A131="Director of Sales",B131,"NA")</f>
        <v>NA</v>
      </c>
      <c r="H131" s="317"/>
      <c r="I131" s="317" t="str">
        <f t="shared" si="16"/>
        <v>Ryan Gerulski</v>
      </c>
      <c r="J131" s="317" t="str">
        <f t="shared" ref="J131:J149" si="21">IF(A131="Regional Manager",B131,"NA")</f>
        <v>NA</v>
      </c>
      <c r="K131" s="317" t="str">
        <f t="shared" ref="K131:K149" si="22">IF(A131="Territory Manager",B131,"NA")</f>
        <v>Jennifer Hollstein</v>
      </c>
      <c r="L131" s="317" t="str">
        <f t="shared" ref="L131:L149" si="23">IF(A131="Siding Specialist",B131,"NA")</f>
        <v>NA</v>
      </c>
      <c r="M131" s="317"/>
      <c r="N131" s="317" t="s">
        <v>1491</v>
      </c>
      <c r="O131" s="285" t="s">
        <v>708</v>
      </c>
      <c r="Q131" s="290" t="s">
        <v>709</v>
      </c>
      <c r="R131" s="296" t="s">
        <v>710</v>
      </c>
      <c r="S131" s="287" t="s">
        <v>711</v>
      </c>
      <c r="T131" s="279" t="s">
        <v>712</v>
      </c>
      <c r="V131" s="287" t="s">
        <v>713</v>
      </c>
      <c r="W131" s="268" t="s">
        <v>714</v>
      </c>
    </row>
    <row r="132" spans="1:23" ht="14.25" customHeight="1">
      <c r="A132" s="309" t="s">
        <v>147</v>
      </c>
      <c r="B132" s="313" t="s">
        <v>715</v>
      </c>
      <c r="C132" s="299" t="s">
        <v>690</v>
      </c>
      <c r="D132" s="317" t="str">
        <f t="shared" si="17"/>
        <v>NA</v>
      </c>
      <c r="E132" s="317" t="str">
        <f t="shared" si="18"/>
        <v>NA</v>
      </c>
      <c r="F132" s="317" t="str">
        <f t="shared" si="19"/>
        <v>NA</v>
      </c>
      <c r="G132" s="317" t="str">
        <f t="shared" si="20"/>
        <v>NA</v>
      </c>
      <c r="H132" s="317"/>
      <c r="I132" s="317" t="str">
        <f t="shared" si="16"/>
        <v>Ryan Gerulski</v>
      </c>
      <c r="J132" s="317" t="str">
        <f t="shared" si="21"/>
        <v>NA</v>
      </c>
      <c r="K132" s="317" t="str">
        <f t="shared" si="22"/>
        <v>Jeffrey Kahler</v>
      </c>
      <c r="L132" s="317" t="str">
        <f t="shared" si="23"/>
        <v>NA</v>
      </c>
      <c r="M132" s="317"/>
      <c r="N132" s="317" t="s">
        <v>1491</v>
      </c>
      <c r="O132" s="285" t="s">
        <v>716</v>
      </c>
      <c r="Q132" s="290" t="s">
        <v>717</v>
      </c>
      <c r="R132" s="296" t="s">
        <v>718</v>
      </c>
      <c r="S132" s="287" t="s">
        <v>687</v>
      </c>
      <c r="T132" s="287">
        <v>18073</v>
      </c>
      <c r="V132" s="287" t="s">
        <v>719</v>
      </c>
      <c r="W132" s="262" t="s">
        <v>720</v>
      </c>
    </row>
    <row r="133" spans="1:23">
      <c r="A133" s="309" t="s">
        <v>147</v>
      </c>
      <c r="B133" s="313" t="s">
        <v>721</v>
      </c>
      <c r="C133" s="299" t="s">
        <v>690</v>
      </c>
      <c r="D133" s="317" t="str">
        <f t="shared" si="17"/>
        <v>NA</v>
      </c>
      <c r="E133" s="317" t="str">
        <f t="shared" si="18"/>
        <v>NA</v>
      </c>
      <c r="F133" s="317" t="str">
        <f t="shared" si="19"/>
        <v>NA</v>
      </c>
      <c r="G133" s="317" t="str">
        <f t="shared" si="20"/>
        <v>NA</v>
      </c>
      <c r="H133" s="317"/>
      <c r="I133" s="317" t="str">
        <f t="shared" si="16"/>
        <v>Ryan Gerulski</v>
      </c>
      <c r="J133" s="317" t="str">
        <f t="shared" si="21"/>
        <v>NA</v>
      </c>
      <c r="K133" s="317" t="str">
        <f t="shared" si="22"/>
        <v>Omar Nijmeh</v>
      </c>
      <c r="L133" s="317" t="str">
        <f t="shared" si="23"/>
        <v>NA</v>
      </c>
      <c r="M133" s="317"/>
      <c r="N133" s="317" t="s">
        <v>1491</v>
      </c>
      <c r="O133" s="285" t="s">
        <v>722</v>
      </c>
      <c r="Q133" s="290" t="s">
        <v>723</v>
      </c>
      <c r="R133" s="296" t="s">
        <v>724</v>
      </c>
      <c r="S133" s="287" t="s">
        <v>687</v>
      </c>
      <c r="T133" s="287" t="s">
        <v>725</v>
      </c>
      <c r="V133" s="287" t="s">
        <v>726</v>
      </c>
      <c r="W133" s="268" t="s">
        <v>727</v>
      </c>
    </row>
    <row r="134" spans="1:23">
      <c r="A134" s="309" t="s">
        <v>147</v>
      </c>
      <c r="B134" s="313" t="s">
        <v>36</v>
      </c>
      <c r="C134" s="299" t="s">
        <v>690</v>
      </c>
      <c r="D134" s="317" t="str">
        <f t="shared" si="17"/>
        <v>NA</v>
      </c>
      <c r="E134" s="317" t="str">
        <f t="shared" si="18"/>
        <v>NA</v>
      </c>
      <c r="F134" s="317" t="str">
        <f t="shared" si="19"/>
        <v>NA</v>
      </c>
      <c r="G134" s="317" t="str">
        <f t="shared" si="20"/>
        <v>NA</v>
      </c>
      <c r="H134" s="317"/>
      <c r="I134" s="317" t="str">
        <f t="shared" si="16"/>
        <v>Ryan Gerulski</v>
      </c>
      <c r="J134" s="317" t="str">
        <f t="shared" si="21"/>
        <v>NA</v>
      </c>
      <c r="K134" s="317" t="str">
        <f t="shared" si="22"/>
        <v>OPEN POSITION</v>
      </c>
      <c r="L134" s="317" t="str">
        <f t="shared" si="23"/>
        <v>NA</v>
      </c>
      <c r="M134" s="317"/>
      <c r="N134" s="317" t="s">
        <v>1491</v>
      </c>
      <c r="O134" s="285" t="s">
        <v>728</v>
      </c>
      <c r="P134" s="287"/>
      <c r="Q134" s="290"/>
      <c r="R134" s="296"/>
      <c r="S134" s="287"/>
      <c r="T134" s="287"/>
      <c r="U134" s="283"/>
      <c r="V134" s="287"/>
      <c r="W134" s="262"/>
    </row>
    <row r="135" spans="1:23">
      <c r="A135" s="309" t="s">
        <v>147</v>
      </c>
      <c r="B135" s="313" t="s">
        <v>729</v>
      </c>
      <c r="C135" s="299" t="s">
        <v>690</v>
      </c>
      <c r="D135" s="317" t="str">
        <f t="shared" si="17"/>
        <v>NA</v>
      </c>
      <c r="E135" s="317" t="str">
        <f t="shared" si="18"/>
        <v>NA</v>
      </c>
      <c r="F135" s="317" t="str">
        <f t="shared" si="19"/>
        <v>NA</v>
      </c>
      <c r="G135" s="317" t="str">
        <f t="shared" si="20"/>
        <v>NA</v>
      </c>
      <c r="H135" s="317"/>
      <c r="I135" s="317" t="str">
        <f t="shared" si="16"/>
        <v>Ryan Gerulski</v>
      </c>
      <c r="J135" s="317" t="str">
        <f t="shared" si="21"/>
        <v>NA</v>
      </c>
      <c r="K135" s="317" t="str">
        <f t="shared" si="22"/>
        <v>Brian Gates</v>
      </c>
      <c r="L135" s="317" t="str">
        <f t="shared" si="23"/>
        <v>NA</v>
      </c>
      <c r="M135" s="317"/>
      <c r="N135" s="317" t="s">
        <v>1491</v>
      </c>
      <c r="O135" s="285" t="s">
        <v>730</v>
      </c>
      <c r="Q135" s="290" t="s">
        <v>731</v>
      </c>
      <c r="R135" s="296" t="s">
        <v>732</v>
      </c>
      <c r="S135" s="287" t="s">
        <v>695</v>
      </c>
      <c r="T135" s="287">
        <v>13215</v>
      </c>
      <c r="V135" s="287" t="s">
        <v>733</v>
      </c>
      <c r="W135" s="262" t="s">
        <v>734</v>
      </c>
    </row>
    <row r="136" spans="1:23">
      <c r="A136" s="309" t="s">
        <v>147</v>
      </c>
      <c r="B136" s="313" t="s">
        <v>735</v>
      </c>
      <c r="C136" s="299" t="s">
        <v>690</v>
      </c>
      <c r="D136" s="317" t="str">
        <f t="shared" si="17"/>
        <v>NA</v>
      </c>
      <c r="E136" s="317" t="str">
        <f t="shared" si="18"/>
        <v>NA</v>
      </c>
      <c r="F136" s="317" t="str">
        <f t="shared" si="19"/>
        <v>NA</v>
      </c>
      <c r="G136" s="317" t="str">
        <f t="shared" si="20"/>
        <v>NA</v>
      </c>
      <c r="H136" s="317"/>
      <c r="I136" s="317" t="str">
        <f t="shared" si="16"/>
        <v>Ryan Gerulski</v>
      </c>
      <c r="J136" s="317" t="str">
        <f t="shared" si="21"/>
        <v>NA</v>
      </c>
      <c r="K136" s="317" t="str">
        <f t="shared" si="22"/>
        <v>Joseph Ventura</v>
      </c>
      <c r="L136" s="317" t="str">
        <f t="shared" si="23"/>
        <v>NA</v>
      </c>
      <c r="M136" s="317"/>
      <c r="N136" s="317" t="s">
        <v>1491</v>
      </c>
      <c r="O136" s="285" t="s">
        <v>736</v>
      </c>
      <c r="Q136" s="290" t="s">
        <v>737</v>
      </c>
      <c r="R136" s="296" t="s">
        <v>738</v>
      </c>
      <c r="S136" s="287" t="s">
        <v>739</v>
      </c>
      <c r="T136" s="287">
        <v>19709</v>
      </c>
      <c r="V136" s="287" t="s">
        <v>740</v>
      </c>
      <c r="W136" s="262" t="s">
        <v>741</v>
      </c>
    </row>
    <row r="137" spans="1:23">
      <c r="A137" s="309" t="s">
        <v>147</v>
      </c>
      <c r="B137" s="313" t="s">
        <v>742</v>
      </c>
      <c r="C137" s="299" t="s">
        <v>690</v>
      </c>
      <c r="D137" s="317" t="str">
        <f t="shared" si="17"/>
        <v>NA</v>
      </c>
      <c r="E137" s="317" t="str">
        <f t="shared" si="18"/>
        <v>NA</v>
      </c>
      <c r="F137" s="317" t="str">
        <f t="shared" si="19"/>
        <v>NA</v>
      </c>
      <c r="G137" s="317" t="str">
        <f t="shared" si="20"/>
        <v>NA</v>
      </c>
      <c r="H137" s="317"/>
      <c r="I137" s="317" t="str">
        <f t="shared" si="16"/>
        <v>Ryan Gerulski</v>
      </c>
      <c r="J137" s="317" t="str">
        <f t="shared" si="21"/>
        <v>NA</v>
      </c>
      <c r="K137" s="317" t="str">
        <f t="shared" si="22"/>
        <v>Mike Ulf</v>
      </c>
      <c r="L137" s="317" t="str">
        <f t="shared" si="23"/>
        <v>NA</v>
      </c>
      <c r="M137" s="317"/>
      <c r="N137" s="317" t="s">
        <v>1491</v>
      </c>
      <c r="O137" s="285" t="s">
        <v>743</v>
      </c>
      <c r="Q137" s="290" t="s">
        <v>744</v>
      </c>
      <c r="R137" s="296" t="s">
        <v>745</v>
      </c>
      <c r="S137" s="287" t="s">
        <v>687</v>
      </c>
      <c r="T137" s="287">
        <v>15317</v>
      </c>
      <c r="U137" s="283">
        <v>12367</v>
      </c>
      <c r="V137" s="295" t="s">
        <v>746</v>
      </c>
      <c r="W137" s="262" t="s">
        <v>747</v>
      </c>
    </row>
    <row r="138" spans="1:23">
      <c r="A138" s="310" t="s">
        <v>126</v>
      </c>
      <c r="B138" s="314" t="s">
        <v>748</v>
      </c>
      <c r="C138" s="318" t="s">
        <v>749</v>
      </c>
      <c r="D138" s="317" t="str">
        <f t="shared" si="17"/>
        <v>NA</v>
      </c>
      <c r="E138" s="317" t="str">
        <f t="shared" si="18"/>
        <v>NA</v>
      </c>
      <c r="F138" s="317" t="str">
        <f t="shared" si="19"/>
        <v>NA</v>
      </c>
      <c r="G138" s="317" t="str">
        <f t="shared" si="20"/>
        <v>NA</v>
      </c>
      <c r="H138" s="317"/>
      <c r="I138" s="317" t="str">
        <f t="shared" si="16"/>
        <v>Ryan Gerulski</v>
      </c>
      <c r="J138" s="317" t="str">
        <f t="shared" si="21"/>
        <v>Bill Bittle</v>
      </c>
      <c r="K138" s="317" t="str">
        <f t="shared" si="22"/>
        <v>NA</v>
      </c>
      <c r="L138" s="317" t="str">
        <f t="shared" si="23"/>
        <v>NA</v>
      </c>
      <c r="M138" s="317"/>
      <c r="N138" s="317" t="s">
        <v>1491</v>
      </c>
      <c r="O138" s="245"/>
      <c r="P138" s="244"/>
      <c r="Q138" s="243" t="s">
        <v>750</v>
      </c>
      <c r="R138" s="243" t="s">
        <v>751</v>
      </c>
      <c r="S138" s="243" t="s">
        <v>87</v>
      </c>
      <c r="T138" s="243">
        <v>28650</v>
      </c>
      <c r="U138" s="248">
        <v>15321</v>
      </c>
      <c r="V138" s="248" t="s">
        <v>752</v>
      </c>
      <c r="W138" s="268" t="s">
        <v>753</v>
      </c>
    </row>
    <row r="139" spans="1:23">
      <c r="A139" s="310" t="s">
        <v>135</v>
      </c>
      <c r="B139" s="314" t="s">
        <v>416</v>
      </c>
      <c r="C139" s="318" t="s">
        <v>217</v>
      </c>
      <c r="D139" s="317" t="str">
        <f t="shared" si="17"/>
        <v>Jordan Plehal</v>
      </c>
      <c r="E139" s="317" t="str">
        <f t="shared" si="18"/>
        <v>NA</v>
      </c>
      <c r="F139" s="317" t="str">
        <f t="shared" si="19"/>
        <v>NA</v>
      </c>
      <c r="G139" s="317" t="str">
        <f t="shared" si="20"/>
        <v>NA</v>
      </c>
      <c r="H139" s="317"/>
      <c r="I139" s="317" t="str">
        <f t="shared" si="16"/>
        <v>Ryan Gerulski</v>
      </c>
      <c r="J139" s="317" t="str">
        <f t="shared" si="21"/>
        <v>NA</v>
      </c>
      <c r="K139" s="317" t="str">
        <f t="shared" si="22"/>
        <v>NA</v>
      </c>
      <c r="L139" s="317" t="str">
        <f t="shared" si="23"/>
        <v>NA</v>
      </c>
      <c r="M139" s="317"/>
      <c r="N139" s="317" t="s">
        <v>1491</v>
      </c>
      <c r="O139" s="245"/>
      <c r="P139" s="244"/>
      <c r="Q139" s="246"/>
      <c r="R139" s="247"/>
      <c r="S139" s="244"/>
      <c r="T139" s="244"/>
      <c r="U139" s="248"/>
      <c r="V139" s="248"/>
      <c r="W139" s="268" t="s">
        <v>754</v>
      </c>
    </row>
    <row r="140" spans="1:23">
      <c r="A140" s="309" t="s">
        <v>147</v>
      </c>
      <c r="B140" s="313" t="s">
        <v>755</v>
      </c>
      <c r="C140" s="300" t="s">
        <v>217</v>
      </c>
      <c r="D140" s="317" t="str">
        <f t="shared" si="17"/>
        <v>NA</v>
      </c>
      <c r="E140" s="317" t="str">
        <f t="shared" si="18"/>
        <v>NA</v>
      </c>
      <c r="F140" s="317" t="str">
        <f t="shared" si="19"/>
        <v>NA</v>
      </c>
      <c r="G140" s="317" t="str">
        <f t="shared" si="20"/>
        <v>NA</v>
      </c>
      <c r="H140" s="317"/>
      <c r="I140" s="317" t="str">
        <f t="shared" si="16"/>
        <v>Ryan Gerulski</v>
      </c>
      <c r="J140" s="317" t="str">
        <f t="shared" si="21"/>
        <v>NA</v>
      </c>
      <c r="K140" s="317" t="str">
        <f t="shared" si="22"/>
        <v>Allen Sizemore</v>
      </c>
      <c r="L140" s="317" t="str">
        <f t="shared" si="23"/>
        <v>NA</v>
      </c>
      <c r="M140" s="317"/>
      <c r="N140" s="317" t="s">
        <v>1491</v>
      </c>
      <c r="O140" s="285" t="s">
        <v>756</v>
      </c>
      <c r="P140" s="286" t="s">
        <v>757</v>
      </c>
      <c r="Q140" s="282" t="s">
        <v>758</v>
      </c>
      <c r="R140" s="282" t="s">
        <v>759</v>
      </c>
      <c r="S140" s="295" t="s">
        <v>760</v>
      </c>
      <c r="T140" s="295">
        <v>29036</v>
      </c>
      <c r="U140" s="283">
        <v>16512</v>
      </c>
      <c r="V140" s="283" t="s">
        <v>761</v>
      </c>
      <c r="W140" s="270" t="s">
        <v>762</v>
      </c>
    </row>
    <row r="141" spans="1:23">
      <c r="A141" s="309" t="s">
        <v>147</v>
      </c>
      <c r="B141" s="313" t="s">
        <v>763</v>
      </c>
      <c r="C141" s="299" t="s">
        <v>217</v>
      </c>
      <c r="D141" s="317" t="str">
        <f t="shared" si="17"/>
        <v>NA</v>
      </c>
      <c r="E141" s="317" t="str">
        <f t="shared" si="18"/>
        <v>NA</v>
      </c>
      <c r="F141" s="317" t="str">
        <f t="shared" si="19"/>
        <v>NA</v>
      </c>
      <c r="G141" s="317" t="str">
        <f t="shared" si="20"/>
        <v>NA</v>
      </c>
      <c r="H141" s="317"/>
      <c r="I141" s="317" t="str">
        <f t="shared" si="16"/>
        <v>Ryan Gerulski</v>
      </c>
      <c r="J141" s="317" t="str">
        <f t="shared" si="21"/>
        <v>NA</v>
      </c>
      <c r="K141" s="317" t="str">
        <f t="shared" si="22"/>
        <v>Diane Vena/Velasquez</v>
      </c>
      <c r="L141" s="317" t="str">
        <f t="shared" si="23"/>
        <v>NA</v>
      </c>
      <c r="M141" s="317"/>
      <c r="N141" s="317" t="s">
        <v>1491</v>
      </c>
      <c r="O141" s="285" t="s">
        <v>764</v>
      </c>
      <c r="P141" s="286" t="s">
        <v>765</v>
      </c>
      <c r="Q141" s="290"/>
      <c r="R141" s="296"/>
      <c r="S141" s="287"/>
      <c r="T141" s="287"/>
      <c r="U141" s="283"/>
      <c r="V141" s="283" t="s">
        <v>766</v>
      </c>
      <c r="W141" s="270" t="s">
        <v>767</v>
      </c>
    </row>
    <row r="142" spans="1:23">
      <c r="A142" s="309" t="s">
        <v>147</v>
      </c>
      <c r="B142" s="313" t="s">
        <v>768</v>
      </c>
      <c r="C142" s="299" t="s">
        <v>217</v>
      </c>
      <c r="D142" s="317" t="str">
        <f t="shared" si="17"/>
        <v>NA</v>
      </c>
      <c r="E142" s="317" t="str">
        <f t="shared" si="18"/>
        <v>NA</v>
      </c>
      <c r="F142" s="317" t="str">
        <f t="shared" si="19"/>
        <v>NA</v>
      </c>
      <c r="G142" s="317" t="str">
        <f t="shared" si="20"/>
        <v>NA</v>
      </c>
      <c r="H142" s="317"/>
      <c r="I142" s="317" t="str">
        <f t="shared" si="16"/>
        <v>Ryan Gerulski</v>
      </c>
      <c r="J142" s="317" t="str">
        <f t="shared" si="21"/>
        <v>NA</v>
      </c>
      <c r="K142" s="317" t="str">
        <f t="shared" si="22"/>
        <v>Lori Plesser</v>
      </c>
      <c r="L142" s="317" t="str">
        <f t="shared" si="23"/>
        <v>NA</v>
      </c>
      <c r="M142" s="317"/>
      <c r="N142" s="317" t="s">
        <v>1491</v>
      </c>
      <c r="O142" s="285" t="s">
        <v>769</v>
      </c>
      <c r="P142" s="286" t="s">
        <v>770</v>
      </c>
      <c r="Q142" s="290"/>
      <c r="R142" s="296"/>
      <c r="S142" s="287"/>
      <c r="T142" s="287"/>
      <c r="U142" s="283"/>
      <c r="V142" s="283" t="s">
        <v>771</v>
      </c>
      <c r="W142" s="270" t="s">
        <v>772</v>
      </c>
    </row>
    <row r="143" spans="1:23">
      <c r="A143" s="309" t="s">
        <v>147</v>
      </c>
      <c r="B143" s="313" t="s">
        <v>36</v>
      </c>
      <c r="C143" s="299" t="s">
        <v>217</v>
      </c>
      <c r="D143" s="317" t="str">
        <f t="shared" si="17"/>
        <v>NA</v>
      </c>
      <c r="E143" s="317" t="str">
        <f t="shared" si="18"/>
        <v>NA</v>
      </c>
      <c r="F143" s="317" t="str">
        <f t="shared" si="19"/>
        <v>NA</v>
      </c>
      <c r="G143" s="317" t="str">
        <f t="shared" si="20"/>
        <v>NA</v>
      </c>
      <c r="H143" s="317"/>
      <c r="I143" s="317" t="str">
        <f t="shared" si="16"/>
        <v>Ryan Gerulski</v>
      </c>
      <c r="J143" s="317" t="str">
        <f t="shared" si="21"/>
        <v>NA</v>
      </c>
      <c r="K143" s="317" t="str">
        <f t="shared" si="22"/>
        <v>OPEN POSITION</v>
      </c>
      <c r="L143" s="317" t="str">
        <f t="shared" si="23"/>
        <v>NA</v>
      </c>
      <c r="M143" s="317"/>
      <c r="N143" s="317" t="s">
        <v>1491</v>
      </c>
      <c r="O143" s="285" t="s">
        <v>773</v>
      </c>
      <c r="P143" s="287"/>
      <c r="Q143" s="290"/>
      <c r="R143" s="296"/>
      <c r="S143" s="287"/>
      <c r="T143" s="287"/>
      <c r="U143" s="283"/>
      <c r="V143" s="283"/>
      <c r="W143" s="270"/>
    </row>
    <row r="144" spans="1:23">
      <c r="A144" s="309" t="s">
        <v>147</v>
      </c>
      <c r="B144" s="313" t="s">
        <v>36</v>
      </c>
      <c r="C144" s="299" t="s">
        <v>217</v>
      </c>
      <c r="D144" s="317" t="str">
        <f t="shared" si="17"/>
        <v>NA</v>
      </c>
      <c r="E144" s="317" t="str">
        <f t="shared" si="18"/>
        <v>NA</v>
      </c>
      <c r="F144" s="317" t="str">
        <f t="shared" si="19"/>
        <v>NA</v>
      </c>
      <c r="G144" s="317" t="str">
        <f t="shared" si="20"/>
        <v>NA</v>
      </c>
      <c r="H144" s="317"/>
      <c r="I144" s="317" t="str">
        <f t="shared" si="16"/>
        <v>Ryan Gerulski</v>
      </c>
      <c r="J144" s="317" t="str">
        <f t="shared" si="21"/>
        <v>NA</v>
      </c>
      <c r="K144" s="317" t="str">
        <f t="shared" si="22"/>
        <v>OPEN POSITION</v>
      </c>
      <c r="L144" s="317" t="str">
        <f t="shared" si="23"/>
        <v>NA</v>
      </c>
      <c r="M144" s="317"/>
      <c r="N144" s="317" t="s">
        <v>1491</v>
      </c>
      <c r="O144" s="285" t="s">
        <v>774</v>
      </c>
      <c r="P144" s="287"/>
      <c r="Q144" s="290"/>
      <c r="R144" s="296"/>
      <c r="S144" s="287"/>
      <c r="T144" s="287"/>
      <c r="U144" s="283"/>
      <c r="V144" s="283"/>
      <c r="W144" s="270"/>
    </row>
    <row r="145" spans="1:23">
      <c r="A145" s="309" t="s">
        <v>5</v>
      </c>
      <c r="B145" s="313" t="s">
        <v>757</v>
      </c>
      <c r="C145" s="299" t="s">
        <v>217</v>
      </c>
      <c r="D145" s="317" t="str">
        <f t="shared" si="17"/>
        <v>NA</v>
      </c>
      <c r="E145" s="317" t="str">
        <f t="shared" si="18"/>
        <v>NA</v>
      </c>
      <c r="F145" s="317" t="str">
        <f t="shared" si="19"/>
        <v>NA</v>
      </c>
      <c r="G145" s="317" t="str">
        <f t="shared" si="20"/>
        <v>NA</v>
      </c>
      <c r="H145" s="317"/>
      <c r="I145" s="317" t="str">
        <f t="shared" si="16"/>
        <v>Ryan Gerulski</v>
      </c>
      <c r="J145" s="317" t="str">
        <f t="shared" si="21"/>
        <v>NA</v>
      </c>
      <c r="K145" s="317" t="str">
        <f t="shared" si="22"/>
        <v>NA</v>
      </c>
      <c r="L145" s="317" t="str">
        <f t="shared" si="23"/>
        <v>Craig Anglemyer</v>
      </c>
      <c r="M145" s="317"/>
      <c r="N145" s="317" t="s">
        <v>1491</v>
      </c>
      <c r="O145" s="285" t="s">
        <v>756</v>
      </c>
      <c r="Q145" s="282" t="s">
        <v>775</v>
      </c>
      <c r="R145" s="296" t="s">
        <v>776</v>
      </c>
      <c r="S145" s="287" t="s">
        <v>760</v>
      </c>
      <c r="T145" s="287">
        <v>29016</v>
      </c>
      <c r="U145" s="283">
        <v>16508</v>
      </c>
      <c r="V145" s="287" t="s">
        <v>777</v>
      </c>
      <c r="W145" s="277" t="s">
        <v>778</v>
      </c>
    </row>
    <row r="146" spans="1:23">
      <c r="A146" s="309" t="s">
        <v>5</v>
      </c>
      <c r="B146" s="313" t="s">
        <v>765</v>
      </c>
      <c r="C146" s="299" t="s">
        <v>217</v>
      </c>
      <c r="D146" s="317" t="str">
        <f t="shared" si="17"/>
        <v>NA</v>
      </c>
      <c r="E146" s="317" t="str">
        <f t="shared" si="18"/>
        <v>NA</v>
      </c>
      <c r="F146" s="317" t="str">
        <f t="shared" si="19"/>
        <v>NA</v>
      </c>
      <c r="G146" s="317" t="str">
        <f t="shared" si="20"/>
        <v>NA</v>
      </c>
      <c r="H146" s="317"/>
      <c r="I146" s="317" t="str">
        <f t="shared" si="16"/>
        <v>Ryan Gerulski</v>
      </c>
      <c r="J146" s="317" t="str">
        <f t="shared" si="21"/>
        <v>NA</v>
      </c>
      <c r="K146" s="317" t="str">
        <f t="shared" si="22"/>
        <v>NA</v>
      </c>
      <c r="L146" s="317" t="str">
        <f t="shared" si="23"/>
        <v>Elijah Geisler</v>
      </c>
      <c r="M146" s="317"/>
      <c r="N146" s="317" t="s">
        <v>1491</v>
      </c>
      <c r="O146" s="285" t="s">
        <v>764</v>
      </c>
      <c r="P146" s="287"/>
      <c r="Q146" s="290"/>
      <c r="R146" s="296"/>
      <c r="S146" s="287"/>
      <c r="T146" s="287"/>
      <c r="U146" s="283"/>
      <c r="V146" s="283"/>
      <c r="W146" s="270" t="s">
        <v>779</v>
      </c>
    </row>
    <row r="147" spans="1:23">
      <c r="A147" s="309" t="s">
        <v>5</v>
      </c>
      <c r="B147" s="313" t="s">
        <v>770</v>
      </c>
      <c r="C147" s="299" t="s">
        <v>217</v>
      </c>
      <c r="D147" s="317" t="str">
        <f t="shared" si="17"/>
        <v>NA</v>
      </c>
      <c r="E147" s="317" t="str">
        <f t="shared" si="18"/>
        <v>NA</v>
      </c>
      <c r="F147" s="317" t="str">
        <f t="shared" si="19"/>
        <v>NA</v>
      </c>
      <c r="G147" s="317" t="str">
        <f t="shared" si="20"/>
        <v>NA</v>
      </c>
      <c r="H147" s="317"/>
      <c r="I147" s="317" t="str">
        <f t="shared" si="16"/>
        <v>Ryan Gerulski</v>
      </c>
      <c r="J147" s="317" t="str">
        <f t="shared" si="21"/>
        <v>NA</v>
      </c>
      <c r="K147" s="317" t="str">
        <f t="shared" si="22"/>
        <v>NA</v>
      </c>
      <c r="L147" s="317" t="str">
        <f t="shared" si="23"/>
        <v>Doug Diebolt</v>
      </c>
      <c r="M147" s="317"/>
      <c r="N147" s="317" t="s">
        <v>1491</v>
      </c>
      <c r="O147" s="285" t="s">
        <v>769</v>
      </c>
      <c r="P147" s="287"/>
      <c r="Q147" s="290"/>
      <c r="R147" s="296"/>
      <c r="S147" s="287"/>
      <c r="T147" s="287"/>
      <c r="U147" s="283"/>
      <c r="V147" s="283"/>
    </row>
    <row r="148" spans="1:23">
      <c r="A148" s="309" t="s">
        <v>5</v>
      </c>
      <c r="B148" s="313" t="s">
        <v>36</v>
      </c>
      <c r="C148" s="299" t="s">
        <v>217</v>
      </c>
      <c r="D148" s="317" t="str">
        <f t="shared" si="17"/>
        <v>NA</v>
      </c>
      <c r="E148" s="317" t="str">
        <f t="shared" si="18"/>
        <v>NA</v>
      </c>
      <c r="F148" s="317" t="str">
        <f t="shared" si="19"/>
        <v>NA</v>
      </c>
      <c r="G148" s="317" t="str">
        <f t="shared" si="20"/>
        <v>NA</v>
      </c>
      <c r="H148" s="317"/>
      <c r="I148" s="317" t="str">
        <f t="shared" si="16"/>
        <v>Ryan Gerulski</v>
      </c>
      <c r="J148" s="317" t="str">
        <f t="shared" si="21"/>
        <v>NA</v>
      </c>
      <c r="K148" s="317" t="str">
        <f t="shared" si="22"/>
        <v>NA</v>
      </c>
      <c r="L148" s="317" t="str">
        <f t="shared" si="23"/>
        <v>OPEN POSITION</v>
      </c>
      <c r="M148" s="317"/>
      <c r="N148" s="317" t="s">
        <v>1491</v>
      </c>
      <c r="O148" s="285" t="s">
        <v>773</v>
      </c>
    </row>
    <row r="149" spans="1:23">
      <c r="A149" s="309" t="s">
        <v>5</v>
      </c>
      <c r="B149" s="313" t="s">
        <v>36</v>
      </c>
      <c r="C149" s="299" t="s">
        <v>217</v>
      </c>
      <c r="D149" s="317" t="str">
        <f t="shared" si="17"/>
        <v>NA</v>
      </c>
      <c r="E149" s="317" t="str">
        <f t="shared" si="18"/>
        <v>NA</v>
      </c>
      <c r="F149" s="317" t="str">
        <f t="shared" si="19"/>
        <v>NA</v>
      </c>
      <c r="G149" s="317" t="str">
        <f t="shared" si="20"/>
        <v>NA</v>
      </c>
      <c r="H149" s="317"/>
      <c r="I149" s="317" t="str">
        <f t="shared" si="16"/>
        <v>Ryan Gerulski</v>
      </c>
      <c r="J149" s="317" t="str">
        <f t="shared" si="21"/>
        <v>NA</v>
      </c>
      <c r="K149" s="317" t="str">
        <f t="shared" si="22"/>
        <v>NA</v>
      </c>
      <c r="L149" s="317" t="str">
        <f t="shared" si="23"/>
        <v>OPEN POSITION</v>
      </c>
      <c r="M149" s="317"/>
      <c r="N149" s="317" t="s">
        <v>1491</v>
      </c>
      <c r="O149" s="285" t="s">
        <v>774</v>
      </c>
    </row>
  </sheetData>
  <autoFilter ref="A1:W149" xr:uid="{00000000-0001-0000-0000-000000000000}"/>
  <hyperlinks>
    <hyperlink ref="W70" r:id="rId1" xr:uid="{00000000-0004-0000-0000-000001000000}"/>
    <hyperlink ref="W84" r:id="rId2" xr:uid="{00000000-0004-0000-0000-000002000000}"/>
    <hyperlink ref="W82" r:id="rId3" xr:uid="{00000000-0004-0000-0000-000006000000}"/>
    <hyperlink ref="W79" r:id="rId4" xr:uid="{00000000-0004-0000-0000-000007000000}"/>
    <hyperlink ref="W83" r:id="rId5" xr:uid="{00000000-0004-0000-0000-00000A000000}"/>
    <hyperlink ref="W108" r:id="rId6" xr:uid="{00000000-0004-0000-0000-00000B000000}"/>
    <hyperlink ref="W57" r:id="rId7" xr:uid="{00000000-0004-0000-0000-000010000000}"/>
    <hyperlink ref="W107" r:id="rId8" xr:uid="{00000000-0004-0000-0000-000013000000}"/>
    <hyperlink ref="W111" r:id="rId9" xr:uid="{00000000-0004-0000-0000-000016000000}"/>
    <hyperlink ref="W113" r:id="rId10" xr:uid="{00000000-0004-0000-0000-000017000000}"/>
    <hyperlink ref="W96" r:id="rId11" xr:uid="{00000000-0004-0000-0000-000019000000}"/>
    <hyperlink ref="W95" r:id="rId12" xr:uid="{00000000-0004-0000-0000-00001C000000}"/>
    <hyperlink ref="W89" r:id="rId13" xr:uid="{00000000-0004-0000-0000-00001D000000}"/>
    <hyperlink ref="W94" r:id="rId14" xr:uid="{00000000-0004-0000-0000-000020000000}"/>
    <hyperlink ref="W92" r:id="rId15" xr:uid="{00000000-0004-0000-0000-000021000000}"/>
    <hyperlink ref="W43" r:id="rId16" xr:uid="{00000000-0004-0000-0000-000022000000}"/>
    <hyperlink ref="W46" r:id="rId17" xr:uid="{00000000-0004-0000-0000-000023000000}"/>
    <hyperlink ref="W105" r:id="rId18" xr:uid="{00000000-0004-0000-0000-000024000000}"/>
    <hyperlink ref="W40" r:id="rId19" xr:uid="{00000000-0004-0000-0000-000026000000}"/>
    <hyperlink ref="W38" r:id="rId20" xr:uid="{00000000-0004-0000-0000-000027000000}"/>
    <hyperlink ref="W39" r:id="rId21" xr:uid="{00000000-0004-0000-0000-000028000000}"/>
    <hyperlink ref="W127" r:id="rId22" xr:uid="{00000000-0004-0000-0000-00002A000000}"/>
    <hyperlink ref="W118" r:id="rId23" xr:uid="{00000000-0004-0000-0000-00002B000000}"/>
    <hyperlink ref="W125" r:id="rId24" xr:uid="{00000000-0004-0000-0000-00002D000000}"/>
    <hyperlink ref="W126" r:id="rId25" xr:uid="{00000000-0004-0000-0000-00002F000000}"/>
    <hyperlink ref="W45" r:id="rId26" xr:uid="{00000000-0004-0000-0000-000030000000}"/>
    <hyperlink ref="W128" r:id="rId27" xr:uid="{00000000-0004-0000-0000-000034000000}"/>
    <hyperlink ref="W101" r:id="rId28" xr:uid="{00000000-0004-0000-0000-000035000000}"/>
    <hyperlink ref="W132" r:id="rId29" xr:uid="{00000000-0004-0000-0000-000037000000}"/>
    <hyperlink ref="W135" r:id="rId30" xr:uid="{00000000-0004-0000-0000-000038000000}"/>
    <hyperlink ref="W5" r:id="rId31" xr:uid="{00000000-0004-0000-0000-00003B000000}"/>
    <hyperlink ref="W20" r:id="rId32" xr:uid="{00000000-0004-0000-0000-00003C000000}"/>
    <hyperlink ref="W9" r:id="rId33" xr:uid="{00000000-0004-0000-0000-00003E000000}"/>
    <hyperlink ref="W8" r:id="rId34" xr:uid="{00000000-0004-0000-0000-000040000000}"/>
    <hyperlink ref="W16" r:id="rId35" xr:uid="{00000000-0004-0000-0000-000045000000}"/>
    <hyperlink ref="W136" r:id="rId36" xr:uid="{00000000-0004-0000-0000-000047000000}"/>
    <hyperlink ref="W50" r:id="rId37" xr:uid="{00000000-0004-0000-0000-00004E000000}"/>
    <hyperlink ref="W120" r:id="rId38" xr:uid="{00000000-0004-0000-0000-000054000000}"/>
    <hyperlink ref="W36" r:id="rId39" xr:uid="{00000000-0004-0000-0000-000057000000}"/>
    <hyperlink ref="W97" r:id="rId40" xr:uid="{00000000-0004-0000-0000-000058000000}"/>
    <hyperlink ref="W11" r:id="rId41" xr:uid="{00000000-0004-0000-0000-00005A000000}"/>
    <hyperlink ref="W48" r:id="rId42" xr:uid="{00000000-0004-0000-0000-00005F000000}"/>
    <hyperlink ref="W81" r:id="rId43" xr:uid="{00000000-0004-0000-0000-000062000000}"/>
    <hyperlink ref="W54" r:id="rId44" xr:uid="{00000000-0004-0000-0000-000063000000}"/>
    <hyperlink ref="W137" r:id="rId45" xr:uid="{E4022318-8178-406B-B5EF-031CC9E6A82D}"/>
    <hyperlink ref="W28" r:id="rId46" xr:uid="{1C76D30A-3EB5-46C1-AC1B-31B94837D0FD}"/>
    <hyperlink ref="W27" r:id="rId47" xr:uid="{0B6DAB77-0DBC-4EFD-B8EE-9D30069A69DB}"/>
    <hyperlink ref="W26" r:id="rId48" xr:uid="{C44DA0DB-EF1B-47BB-AEA2-3AE3D87D33AE}"/>
    <hyperlink ref="W33" r:id="rId49" xr:uid="{859D4B79-F653-4A80-9026-6C57228F0F89}"/>
    <hyperlink ref="W24" r:id="rId50" xr:uid="{D130A155-90CC-43B3-8D3E-EBA57C057D9E}"/>
    <hyperlink ref="W34" r:id="rId51" xr:uid="{697A645E-BA98-41F3-B9AC-D8BC85CBA067}"/>
    <hyperlink ref="W31" r:id="rId52" xr:uid="{E648D196-3022-4704-845F-88FB015C8E78}"/>
    <hyperlink ref="W22" r:id="rId53" xr:uid="{978DDE16-648F-4B14-BBE0-ED0B3536C79F}"/>
    <hyperlink ref="W71" r:id="rId54" xr:uid="{BF68FE43-630B-4C0A-991D-7CA5DDBB4C12}"/>
    <hyperlink ref="W78" r:id="rId55" xr:uid="{C13E7127-1451-4402-8660-6F739DB11235}"/>
    <hyperlink ref="W52" r:id="rId56" xr:uid="{4778B0A9-1A38-45AD-83D5-8AE4E0854EA4}"/>
    <hyperlink ref="W69" r:id="rId57" xr:uid="{F060D18B-D0F7-4C18-B47B-8E87D576E629}"/>
    <hyperlink ref="W59" r:id="rId58" xr:uid="{70AF899C-2D3A-40F2-9639-C235C03BFF22}"/>
    <hyperlink ref="W104" r:id="rId59" xr:uid="{39236947-41AF-4515-8C5C-AB9E374F68B2}"/>
    <hyperlink ref="W122" r:id="rId60" xr:uid="{B28F127F-4E65-4DCA-B9A0-F60129B2C38F}"/>
    <hyperlink ref="W41" r:id="rId61" xr:uid="{FF75FF7C-1B53-4FEE-9694-D06340C85126}"/>
    <hyperlink ref="W42" r:id="rId62" xr:uid="{06FFB503-B7A6-471B-8C8D-0026D3FD25A5}"/>
    <hyperlink ref="W56" r:id="rId63" xr:uid="{A79CE2DF-62EA-47F0-B4BF-167BBB17CB0C}"/>
    <hyperlink ref="W112" r:id="rId64" xr:uid="{00E0A5CD-BEB4-4149-B437-AC10EF1EC6B4}"/>
    <hyperlink ref="W3" r:id="rId65" xr:uid="{E1F3FB40-5271-4ED8-B67E-8FA0155F8CAA}"/>
    <hyperlink ref="W29" r:id="rId66" xr:uid="{F69D4CDA-FF6A-4572-ADB6-B3642CBE79F3}"/>
    <hyperlink ref="W74" r:id="rId67" xr:uid="{2D822011-17A5-431F-ABCE-801AEE874548}"/>
    <hyperlink ref="W68" r:id="rId68" xr:uid="{7917E5B1-6385-4020-8EFC-E2563DE18073}"/>
    <hyperlink ref="W110" r:id="rId69" xr:uid="{B6BE059D-CFF9-4A16-AA18-D542A597D0AC}"/>
    <hyperlink ref="W80" r:id="rId70" xr:uid="{50BB7B62-A653-4CDA-9553-3D9EC2DF62E2}"/>
    <hyperlink ref="W85" r:id="rId71" xr:uid="{6CC3E79C-65BC-4794-9BB0-7E234F6BD956}"/>
    <hyperlink ref="W53" r:id="rId72" xr:uid="{7D7B720B-A287-4457-BBA2-5B147CA095D8}"/>
    <hyperlink ref="W55" r:id="rId73" xr:uid="{B82F10C3-BD70-4925-B5C6-BB7324285FD9}"/>
    <hyperlink ref="W116" r:id="rId74" xr:uid="{FB666237-EF59-4AFC-B6E3-7F943AB3877C}"/>
    <hyperlink ref="W87" r:id="rId75" xr:uid="{6F2CC34D-C7F3-488B-B8EC-BA1A0167F561}"/>
    <hyperlink ref="W49" r:id="rId76" xr:uid="{779E6423-EDEB-4310-AE32-9816F19760C8}"/>
    <hyperlink ref="W37" r:id="rId77" xr:uid="{10D0754B-F271-4B49-B6A6-F3904213FB75}"/>
    <hyperlink ref="W123" r:id="rId78" xr:uid="{B11B30C2-6312-4036-B823-A850A20AA36A}"/>
    <hyperlink ref="W109" r:id="rId79" xr:uid="{748D0873-3475-4826-96EA-87B7754B0E9B}"/>
    <hyperlink ref="W121" r:id="rId80" xr:uid="{04473B42-27FD-4FC4-87AC-74021B69E1D8}"/>
    <hyperlink ref="W51" r:id="rId81" xr:uid="{8BB87183-2381-40EE-8330-A877D08BBB01}"/>
    <hyperlink ref="W44" r:id="rId82" xr:uid="{A5D82C43-FF94-4E8B-9EC1-49CE772E30BA}"/>
    <hyperlink ref="W47" r:id="rId83" xr:uid="{26EDFB85-90D1-4EF0-9735-A07D2AB75EED}"/>
    <hyperlink ref="W30" r:id="rId84" xr:uid="{44B88B05-5A87-4762-B297-6367CAD499CB}"/>
    <hyperlink ref="W106" r:id="rId85" xr:uid="{0AE818D5-A412-4B95-93BE-0E6CEF70F70F}"/>
    <hyperlink ref="W91" r:id="rId86" xr:uid="{B1CD62A1-54EE-431E-9DB3-2F32C5DEB1BD}"/>
    <hyperlink ref="W21" r:id="rId87" display="chad.lemburg@wausausupply.com" xr:uid="{3F3377BA-80B1-4C2F-934B-F19E2416E1F3}"/>
    <hyperlink ref="W15" r:id="rId88" xr:uid="{DA5575DB-E110-4464-85B5-17F6AF1A0396}"/>
    <hyperlink ref="W115" r:id="rId89" xr:uid="{91EBA668-B2E4-4695-A0EE-238F9A486F2F}"/>
    <hyperlink ref="W64" r:id="rId90" xr:uid="{942B904E-A840-4C00-9F86-B8885FDC0424}"/>
    <hyperlink ref="W86" r:id="rId91" xr:uid="{98672FC5-C124-4082-AA70-F084B88A4BD7}"/>
    <hyperlink ref="W131" r:id="rId92" xr:uid="{4927A72D-9A4B-49DE-9815-846DFB82011A}"/>
    <hyperlink ref="W133" r:id="rId93" xr:uid="{EF26CCE1-5E2F-4D7E-9399-E1E248CFFC6C}"/>
    <hyperlink ref="W35" r:id="rId94" xr:uid="{C50F7C24-C773-4423-A586-10D8EEAA71FB}"/>
    <hyperlink ref="W10" r:id="rId95" xr:uid="{12A472DE-78E7-4601-982B-9901DC5BA93C}"/>
    <hyperlink ref="W14" r:id="rId96" xr:uid="{1495573E-835F-40E3-9DEA-11427290F71F}"/>
    <hyperlink ref="W12" r:id="rId97" xr:uid="{8A6C6836-67F2-4D3B-B251-A844BEFFA098}"/>
    <hyperlink ref="W13" r:id="rId98" xr:uid="{7ABFEA16-9014-438F-9759-7D865F268EF7}"/>
    <hyperlink ref="W102" r:id="rId99" xr:uid="{56B63D5A-10E6-49E1-B1DA-7C5BAD0C2FA8}"/>
    <hyperlink ref="W129" r:id="rId100" xr:uid="{00F5D7E0-A444-4799-9BAE-39C554C6942F}"/>
    <hyperlink ref="W138" r:id="rId101" xr:uid="{AAF21389-2E67-483F-A473-0D0F46BBCBA9}"/>
    <hyperlink ref="W117" r:id="rId102" xr:uid="{4745D683-CF47-4DA2-B5AE-314F16476F60}"/>
    <hyperlink ref="W119" r:id="rId103" xr:uid="{5F16F370-DF0B-4F94-8E71-61ED25DF1275}"/>
    <hyperlink ref="W145" r:id="rId104" xr:uid="{527314A6-66DE-4440-8E82-F2539C4041F9}"/>
    <hyperlink ref="W140" r:id="rId105" xr:uid="{77E1A24F-92D3-4904-8AB9-3AEABF8C074C}"/>
    <hyperlink ref="W139" r:id="rId106" xr:uid="{43FC0B02-6CC1-44DF-B99B-8CAE31B7720B}"/>
    <hyperlink ref="W93" r:id="rId107" xr:uid="{31AC0AF7-4611-43E8-931A-7C7218EA8A6A}"/>
    <hyperlink ref="W75" r:id="rId108" xr:uid="{4E04D9AD-74F2-446A-B3F6-4097E8DC3E30}"/>
    <hyperlink ref="W65" r:id="rId109" xr:uid="{5DCC1D4A-A73A-4409-B75A-0D3A33F21E4B}"/>
    <hyperlink ref="W67" r:id="rId110" xr:uid="{656C68D0-2241-48FD-8C51-330AD85F45F1}"/>
    <hyperlink ref="W58" r:id="rId111" xr:uid="{37DF710F-84B0-4D86-8916-3C3A5145D72E}"/>
    <hyperlink ref="W66" r:id="rId112" xr:uid="{47F1199A-2449-431D-B3A4-690F39B8CD88}"/>
    <hyperlink ref="W61" r:id="rId113" xr:uid="{34E72872-A370-4158-B60A-A6F6B7F1D6CD}"/>
    <hyperlink ref="W62" r:id="rId114" xr:uid="{8FA04586-B1E2-417C-B6CD-E2035AE3D8D8}"/>
    <hyperlink ref="W130" r:id="rId115" xr:uid="{76A9B8B0-352B-4679-AF9E-F1307C452997}"/>
    <hyperlink ref="W99" r:id="rId116" xr:uid="{4E71FA6F-58FC-4880-91B5-D6FE8EFB0096}"/>
    <hyperlink ref="W72" r:id="rId117" xr:uid="{61BA9F07-C146-4091-93CD-B819636E799C}"/>
    <hyperlink ref="W146" r:id="rId118" xr:uid="{63566FAE-9F94-4388-ABF1-611F93FEFD52}"/>
    <hyperlink ref="W142" r:id="rId119" xr:uid="{663CEC8D-5789-4FF6-A969-3AD4073B8A5A}"/>
  </hyperlinks>
  <printOptions horizontalCentered="1" verticalCentered="1" gridLines="1"/>
  <pageMargins left="0.2" right="0.7" top="0.25" bottom="0.25" header="0.3" footer="0.3"/>
  <pageSetup scale="28" fitToHeight="0" orientation="landscape" verticalDpi="1200" r:id="rId12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9"/>
  <sheetViews>
    <sheetView zoomScale="85" zoomScaleNormal="85" workbookViewId="0">
      <selection activeCell="P31" sqref="P31"/>
    </sheetView>
  </sheetViews>
  <sheetFormatPr defaultRowHeight="15"/>
  <cols>
    <col min="1" max="1" width="13.5703125" bestFit="1" customWidth="1"/>
    <col min="2" max="2" width="35.140625" customWidth="1"/>
    <col min="3" max="3" width="26.7109375" customWidth="1"/>
    <col min="4" max="4" width="16.7109375" customWidth="1"/>
    <col min="5" max="5" width="11.85546875" customWidth="1"/>
    <col min="6" max="6" width="10" bestFit="1" customWidth="1"/>
  </cols>
  <sheetData>
    <row r="1" spans="1:6" ht="17.25">
      <c r="A1" s="147" t="s">
        <v>780</v>
      </c>
    </row>
    <row r="2" spans="1:6" s="151" customFormat="1">
      <c r="A2" s="149" t="s">
        <v>781</v>
      </c>
      <c r="B2" s="149" t="s">
        <v>782</v>
      </c>
      <c r="C2" s="150" t="s">
        <v>783</v>
      </c>
      <c r="D2" s="149" t="s">
        <v>784</v>
      </c>
      <c r="E2" s="149" t="s">
        <v>785</v>
      </c>
      <c r="F2" s="149" t="s">
        <v>786</v>
      </c>
    </row>
    <row r="3" spans="1:6">
      <c r="A3">
        <v>2</v>
      </c>
      <c r="B3" s="148" t="s">
        <v>787</v>
      </c>
      <c r="C3" s="148" t="s">
        <v>788</v>
      </c>
      <c r="D3" s="148" t="s">
        <v>789</v>
      </c>
      <c r="E3" s="148" t="s">
        <v>18</v>
      </c>
      <c r="F3" s="148">
        <v>54476</v>
      </c>
    </row>
    <row r="5" spans="1:6">
      <c r="A5">
        <v>3</v>
      </c>
      <c r="B5" s="148" t="s">
        <v>790</v>
      </c>
      <c r="C5" s="148" t="s">
        <v>788</v>
      </c>
      <c r="D5" s="148" t="s">
        <v>789</v>
      </c>
      <c r="E5" s="148" t="s">
        <v>18</v>
      </c>
      <c r="F5" s="148">
        <v>54476</v>
      </c>
    </row>
    <row r="7" spans="1:6">
      <c r="A7">
        <v>5</v>
      </c>
      <c r="B7" s="148" t="s">
        <v>791</v>
      </c>
      <c r="C7" s="148" t="s">
        <v>792</v>
      </c>
      <c r="D7" s="148" t="s">
        <v>793</v>
      </c>
      <c r="E7" s="148" t="s">
        <v>18</v>
      </c>
      <c r="F7" s="148">
        <v>54703</v>
      </c>
    </row>
    <row r="9" spans="1:6">
      <c r="A9">
        <v>6</v>
      </c>
      <c r="B9" s="148" t="s">
        <v>794</v>
      </c>
      <c r="C9" s="148" t="s">
        <v>795</v>
      </c>
      <c r="D9" s="148" t="s">
        <v>72</v>
      </c>
      <c r="E9" s="148" t="s">
        <v>73</v>
      </c>
      <c r="F9" s="148">
        <v>55044</v>
      </c>
    </row>
    <row r="11" spans="1:6">
      <c r="A11">
        <v>8</v>
      </c>
      <c r="B11" s="148" t="s">
        <v>796</v>
      </c>
      <c r="C11" s="148" t="s">
        <v>797</v>
      </c>
      <c r="D11" s="148" t="s">
        <v>454</v>
      </c>
      <c r="E11" s="148" t="s">
        <v>73</v>
      </c>
      <c r="F11" s="148">
        <v>56502</v>
      </c>
    </row>
    <row r="13" spans="1:6">
      <c r="A13">
        <v>9</v>
      </c>
      <c r="B13" s="148" t="s">
        <v>798</v>
      </c>
      <c r="C13" s="148" t="s">
        <v>799</v>
      </c>
      <c r="D13" s="148" t="s">
        <v>800</v>
      </c>
      <c r="E13" s="148" t="s">
        <v>131</v>
      </c>
      <c r="F13" s="148">
        <v>61068</v>
      </c>
    </row>
    <row r="15" spans="1:6">
      <c r="A15">
        <v>11</v>
      </c>
      <c r="B15" s="148" t="s">
        <v>801</v>
      </c>
      <c r="C15" s="148" t="s">
        <v>802</v>
      </c>
      <c r="D15" s="148" t="s">
        <v>803</v>
      </c>
      <c r="E15" s="148" t="s">
        <v>294</v>
      </c>
      <c r="F15" s="148">
        <v>52358</v>
      </c>
    </row>
    <row r="17" spans="1:6">
      <c r="A17">
        <v>12</v>
      </c>
      <c r="B17" s="148" t="s">
        <v>804</v>
      </c>
      <c r="C17" s="148" t="s">
        <v>805</v>
      </c>
      <c r="D17" s="148" t="s">
        <v>806</v>
      </c>
      <c r="E17" s="148" t="s">
        <v>294</v>
      </c>
      <c r="F17" s="148">
        <v>50250</v>
      </c>
    </row>
    <row r="19" spans="1:6">
      <c r="A19">
        <v>13</v>
      </c>
      <c r="B19" s="148" t="s">
        <v>807</v>
      </c>
      <c r="C19" s="148" t="s">
        <v>808</v>
      </c>
      <c r="D19" s="148" t="s">
        <v>809</v>
      </c>
      <c r="E19" s="148" t="s">
        <v>131</v>
      </c>
      <c r="F19" s="148">
        <v>62650</v>
      </c>
    </row>
    <row r="21" spans="1:6">
      <c r="A21">
        <v>14</v>
      </c>
      <c r="B21" s="148" t="s">
        <v>810</v>
      </c>
      <c r="C21" s="148" t="s">
        <v>811</v>
      </c>
      <c r="D21" s="148" t="s">
        <v>812</v>
      </c>
      <c r="E21" s="148" t="s">
        <v>259</v>
      </c>
      <c r="F21" s="148">
        <v>57005</v>
      </c>
    </row>
    <row r="23" spans="1:6">
      <c r="A23">
        <v>15</v>
      </c>
      <c r="B23" s="148" t="s">
        <v>813</v>
      </c>
      <c r="C23" s="148" t="s">
        <v>814</v>
      </c>
      <c r="D23" s="148" t="s">
        <v>815</v>
      </c>
      <c r="E23" s="148" t="s">
        <v>32</v>
      </c>
      <c r="F23" s="148">
        <v>66031</v>
      </c>
    </row>
    <row r="25" spans="1:6">
      <c r="A25">
        <v>16</v>
      </c>
      <c r="B25" s="148" t="s">
        <v>816</v>
      </c>
      <c r="C25" s="148" t="s">
        <v>817</v>
      </c>
      <c r="D25" s="148" t="s">
        <v>258</v>
      </c>
      <c r="E25" s="148" t="s">
        <v>259</v>
      </c>
      <c r="F25" s="148">
        <v>57701</v>
      </c>
    </row>
    <row r="27" spans="1:6">
      <c r="A27">
        <v>17</v>
      </c>
      <c r="B27" s="148" t="s">
        <v>818</v>
      </c>
      <c r="C27" s="148" t="s">
        <v>819</v>
      </c>
      <c r="D27" s="148" t="s">
        <v>803</v>
      </c>
      <c r="E27" s="148" t="s">
        <v>43</v>
      </c>
      <c r="F27" s="148">
        <v>48661</v>
      </c>
    </row>
    <row r="29" spans="1:6">
      <c r="A29">
        <v>18</v>
      </c>
      <c r="B29" s="148" t="s">
        <v>820</v>
      </c>
      <c r="C29" s="148" t="s">
        <v>821</v>
      </c>
      <c r="D29" s="148" t="s">
        <v>530</v>
      </c>
      <c r="E29" s="148" t="s">
        <v>212</v>
      </c>
      <c r="F29" s="148">
        <v>59403</v>
      </c>
    </row>
    <row r="31" spans="1:6">
      <c r="A31">
        <v>19</v>
      </c>
      <c r="B31" s="148" t="s">
        <v>822</v>
      </c>
      <c r="C31" s="148" t="s">
        <v>823</v>
      </c>
      <c r="D31" s="148" t="s">
        <v>223</v>
      </c>
      <c r="E31" s="148" t="s">
        <v>212</v>
      </c>
      <c r="F31" s="148">
        <v>59101</v>
      </c>
    </row>
    <row r="33" spans="1:6">
      <c r="A33">
        <v>20</v>
      </c>
      <c r="B33" s="148" t="s">
        <v>824</v>
      </c>
      <c r="C33" s="148" t="s">
        <v>825</v>
      </c>
      <c r="D33" s="148" t="s">
        <v>524</v>
      </c>
      <c r="E33" s="148" t="s">
        <v>525</v>
      </c>
      <c r="F33" s="148">
        <v>99216</v>
      </c>
    </row>
    <row r="35" spans="1:6">
      <c r="A35">
        <v>21</v>
      </c>
      <c r="B35" t="s">
        <v>826</v>
      </c>
      <c r="C35" t="s">
        <v>827</v>
      </c>
      <c r="D35" t="s">
        <v>828</v>
      </c>
      <c r="E35" t="s">
        <v>245</v>
      </c>
      <c r="F35">
        <v>80828</v>
      </c>
    </row>
    <row r="37" spans="1:6">
      <c r="A37">
        <v>22</v>
      </c>
      <c r="B37" s="148" t="s">
        <v>829</v>
      </c>
      <c r="C37" s="148" t="s">
        <v>496</v>
      </c>
      <c r="D37" s="148" t="s">
        <v>497</v>
      </c>
      <c r="E37" s="148" t="s">
        <v>212</v>
      </c>
      <c r="F37" s="148">
        <v>59750</v>
      </c>
    </row>
    <row r="39" spans="1:6">
      <c r="A39">
        <v>24</v>
      </c>
      <c r="B39" t="s">
        <v>830</v>
      </c>
      <c r="C39" t="s">
        <v>831</v>
      </c>
      <c r="D39" t="s">
        <v>629</v>
      </c>
      <c r="E39" t="s">
        <v>57</v>
      </c>
      <c r="F39">
        <v>37129</v>
      </c>
    </row>
    <row r="41" spans="1:6">
      <c r="A41" s="242">
        <v>25</v>
      </c>
      <c r="B41" s="242" t="s">
        <v>832</v>
      </c>
      <c r="C41" s="242" t="s">
        <v>833</v>
      </c>
      <c r="D41" s="242" t="s">
        <v>834</v>
      </c>
      <c r="E41" s="242" t="s">
        <v>687</v>
      </c>
      <c r="F41" s="242">
        <v>19526</v>
      </c>
    </row>
    <row r="42" spans="1:6">
      <c r="A42" s="242"/>
      <c r="B42" s="242"/>
      <c r="C42" s="242"/>
      <c r="D42" s="242"/>
      <c r="E42" s="242"/>
      <c r="F42" s="242"/>
    </row>
    <row r="43" spans="1:6">
      <c r="A43" s="242">
        <v>26</v>
      </c>
      <c r="B43" s="242" t="s">
        <v>835</v>
      </c>
      <c r="C43" s="242" t="s">
        <v>836</v>
      </c>
      <c r="D43" s="242" t="s">
        <v>837</v>
      </c>
      <c r="E43" s="242" t="s">
        <v>489</v>
      </c>
      <c r="F43" s="242">
        <v>84302</v>
      </c>
    </row>
    <row r="44" spans="1:6">
      <c r="A44" s="242"/>
      <c r="B44" s="242"/>
      <c r="C44" s="242"/>
      <c r="D44" s="242"/>
      <c r="E44" s="242"/>
      <c r="F44" s="242"/>
    </row>
    <row r="45" spans="1:6">
      <c r="A45" s="242">
        <v>27</v>
      </c>
      <c r="B45" s="242" t="s">
        <v>838</v>
      </c>
      <c r="C45" s="242" t="s">
        <v>839</v>
      </c>
      <c r="D45" s="242" t="s">
        <v>840</v>
      </c>
      <c r="E45" s="242" t="s">
        <v>65</v>
      </c>
      <c r="F45" s="242">
        <v>45365</v>
      </c>
    </row>
    <row r="47" spans="1:6">
      <c r="A47">
        <v>90</v>
      </c>
      <c r="B47" t="s">
        <v>841</v>
      </c>
      <c r="C47" t="s">
        <v>842</v>
      </c>
      <c r="D47" t="s">
        <v>789</v>
      </c>
      <c r="E47" t="s">
        <v>18</v>
      </c>
      <c r="F47">
        <v>54476</v>
      </c>
    </row>
    <row r="49" spans="1:6">
      <c r="A49">
        <v>600</v>
      </c>
      <c r="B49" t="s">
        <v>843</v>
      </c>
      <c r="C49" t="s">
        <v>819</v>
      </c>
      <c r="D49" t="s">
        <v>803</v>
      </c>
      <c r="E49" t="s">
        <v>43</v>
      </c>
      <c r="F49">
        <v>48661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3"/>
  <sheetViews>
    <sheetView workbookViewId="0">
      <selection activeCell="E34" sqref="E34"/>
    </sheetView>
  </sheetViews>
  <sheetFormatPr defaultRowHeight="15"/>
  <cols>
    <col min="1" max="1" width="15.42578125" style="215" customWidth="1"/>
    <col min="2" max="2" width="14.28515625" style="215" customWidth="1"/>
    <col min="3" max="3" width="13.85546875" style="215" customWidth="1"/>
    <col min="4" max="4" width="13.7109375" style="215" customWidth="1"/>
    <col min="5" max="5" width="17.140625" style="215" customWidth="1"/>
    <col min="6" max="6" width="14.28515625" style="215" customWidth="1"/>
    <col min="7" max="7" width="13.42578125" style="215" customWidth="1"/>
    <col min="8" max="8" width="16.42578125" style="215" customWidth="1"/>
    <col min="9" max="9" width="21.28515625" customWidth="1"/>
    <col min="10" max="10" width="15.85546875" customWidth="1"/>
    <col min="11" max="11" width="16.7109375" customWidth="1"/>
    <col min="12" max="12" width="13.140625" customWidth="1"/>
    <col min="13" max="13" width="12.28515625" customWidth="1"/>
    <col min="14" max="14" width="12.5703125" style="215" customWidth="1"/>
    <col min="15" max="15" width="11.28515625" style="215" customWidth="1"/>
    <col min="16" max="16" width="9.140625" style="215"/>
    <col min="17" max="17" width="11.28515625" style="215" customWidth="1"/>
    <col min="18" max="18" width="11.5703125" style="215" customWidth="1"/>
    <col min="19" max="19" width="9.5703125" style="215" customWidth="1"/>
    <col min="20" max="20" width="14.140625" customWidth="1"/>
    <col min="21" max="21" width="10.28515625" customWidth="1"/>
    <col min="22" max="22" width="13.140625" customWidth="1"/>
    <col min="23" max="23" width="13.28515625" customWidth="1"/>
  </cols>
  <sheetData>
    <row r="1" spans="1:23">
      <c r="A1" s="252" t="s">
        <v>844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</row>
    <row r="2" spans="1:23" ht="15.75" thickBot="1">
      <c r="A2" s="252" t="s">
        <v>845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3" ht="43.9" customHeight="1" thickBot="1">
      <c r="A3" s="253" t="s">
        <v>846</v>
      </c>
      <c r="B3" s="254"/>
      <c r="C3" s="254"/>
      <c r="D3" s="254"/>
      <c r="E3" s="254"/>
      <c r="F3" s="254"/>
      <c r="G3" s="254"/>
      <c r="H3" s="254"/>
      <c r="I3" s="256" t="s">
        <v>847</v>
      </c>
      <c r="J3" s="257"/>
      <c r="K3" s="257"/>
      <c r="L3" s="257"/>
      <c r="M3" s="257"/>
      <c r="N3" s="253" t="s">
        <v>848</v>
      </c>
      <c r="O3" s="254"/>
      <c r="P3" s="254"/>
      <c r="Q3" s="254"/>
      <c r="R3" s="254"/>
      <c r="S3" s="254"/>
      <c r="T3" s="254"/>
      <c r="U3" s="254"/>
      <c r="V3" s="254"/>
      <c r="W3" s="255"/>
    </row>
    <row r="4" spans="1:23" ht="90.75" thickBot="1">
      <c r="A4" s="228" t="s">
        <v>849</v>
      </c>
      <c r="B4" s="227" t="s">
        <v>850</v>
      </c>
      <c r="C4" s="227" t="s">
        <v>851</v>
      </c>
      <c r="D4" s="227" t="s">
        <v>852</v>
      </c>
      <c r="E4" s="227" t="s">
        <v>853</v>
      </c>
      <c r="F4" s="227" t="s">
        <v>854</v>
      </c>
      <c r="G4" s="227" t="s">
        <v>855</v>
      </c>
      <c r="H4" s="227" t="s">
        <v>856</v>
      </c>
      <c r="I4" s="239" t="s">
        <v>857</v>
      </c>
      <c r="J4" s="240" t="s">
        <v>858</v>
      </c>
      <c r="K4" s="240" t="s">
        <v>859</v>
      </c>
      <c r="L4" s="240" t="s">
        <v>860</v>
      </c>
      <c r="M4" s="240" t="s">
        <v>861</v>
      </c>
      <c r="N4" s="249" t="s">
        <v>862</v>
      </c>
      <c r="O4" s="250"/>
      <c r="P4" s="251"/>
      <c r="Q4" s="249" t="s">
        <v>863</v>
      </c>
      <c r="R4" s="250"/>
      <c r="S4" s="251"/>
      <c r="T4" s="240" t="s">
        <v>864</v>
      </c>
      <c r="U4" s="240" t="s">
        <v>865</v>
      </c>
      <c r="V4" s="240" t="s">
        <v>866</v>
      </c>
      <c r="W4" s="241" t="s">
        <v>867</v>
      </c>
    </row>
    <row r="5" spans="1:23" ht="60.75" thickBot="1">
      <c r="I5" s="238" t="s">
        <v>208</v>
      </c>
      <c r="J5" t="s">
        <v>868</v>
      </c>
      <c r="K5" t="s">
        <v>568</v>
      </c>
      <c r="N5" s="239" t="s">
        <v>869</v>
      </c>
      <c r="O5" s="240" t="s">
        <v>870</v>
      </c>
      <c r="P5" s="241" t="s">
        <v>871</v>
      </c>
      <c r="Q5" s="239" t="s">
        <v>872</v>
      </c>
      <c r="R5" s="240" t="s">
        <v>873</v>
      </c>
      <c r="S5" s="241" t="s">
        <v>874</v>
      </c>
      <c r="T5" s="237" t="s">
        <v>875</v>
      </c>
      <c r="W5" s="233"/>
    </row>
    <row r="6" spans="1:23" ht="60">
      <c r="I6" s="238" t="s">
        <v>876</v>
      </c>
      <c r="J6" t="s">
        <v>877</v>
      </c>
      <c r="K6" t="s">
        <v>878</v>
      </c>
      <c r="N6" s="235" t="s">
        <v>879</v>
      </c>
      <c r="O6" s="215" t="s">
        <v>356</v>
      </c>
      <c r="P6" s="234" t="s">
        <v>880</v>
      </c>
      <c r="Q6" s="235" t="s">
        <v>881</v>
      </c>
      <c r="R6" s="215" t="s">
        <v>882</v>
      </c>
      <c r="S6" s="234" t="s">
        <v>883</v>
      </c>
      <c r="T6" s="237" t="s">
        <v>884</v>
      </c>
      <c r="W6" s="233"/>
    </row>
    <row r="7" spans="1:23" ht="60">
      <c r="I7" s="238" t="s">
        <v>885</v>
      </c>
      <c r="J7" t="s">
        <v>886</v>
      </c>
      <c r="K7" t="s">
        <v>887</v>
      </c>
      <c r="N7" s="235" t="s">
        <v>369</v>
      </c>
      <c r="O7" s="215" t="s">
        <v>888</v>
      </c>
      <c r="P7" s="234" t="s">
        <v>889</v>
      </c>
      <c r="Q7" s="235" t="s">
        <v>890</v>
      </c>
      <c r="R7" s="215" t="s">
        <v>891</v>
      </c>
      <c r="S7" s="234" t="s">
        <v>892</v>
      </c>
      <c r="T7" s="237" t="s">
        <v>893</v>
      </c>
      <c r="W7" s="233"/>
    </row>
    <row r="8" spans="1:23" ht="45">
      <c r="I8" s="238" t="s">
        <v>894</v>
      </c>
      <c r="J8" t="s">
        <v>895</v>
      </c>
      <c r="K8" t="s">
        <v>896</v>
      </c>
      <c r="N8" s="235" t="s">
        <v>387</v>
      </c>
      <c r="O8" s="215" t="s">
        <v>897</v>
      </c>
      <c r="P8" s="234" t="s">
        <v>187</v>
      </c>
      <c r="Q8" s="235" t="s">
        <v>898</v>
      </c>
      <c r="R8" s="215" t="s">
        <v>899</v>
      </c>
      <c r="S8" s="234" t="s">
        <v>900</v>
      </c>
      <c r="T8" s="237" t="s">
        <v>901</v>
      </c>
      <c r="W8" s="233"/>
    </row>
    <row r="9" spans="1:23" ht="30.75" thickBot="1">
      <c r="I9" s="236"/>
      <c r="J9" s="98" t="s">
        <v>479</v>
      </c>
      <c r="K9" s="98"/>
      <c r="L9" s="98"/>
      <c r="M9" s="98"/>
      <c r="N9" s="235" t="s">
        <v>902</v>
      </c>
      <c r="O9" s="215" t="s">
        <v>903</v>
      </c>
      <c r="P9" s="234" t="s">
        <v>904</v>
      </c>
      <c r="Q9" s="235" t="s">
        <v>233</v>
      </c>
      <c r="R9" s="215" t="s">
        <v>410</v>
      </c>
      <c r="S9" s="234" t="s">
        <v>905</v>
      </c>
      <c r="W9" s="233"/>
    </row>
    <row r="10" spans="1:23" ht="30">
      <c r="N10" s="235" t="s">
        <v>906</v>
      </c>
      <c r="O10" s="215" t="s">
        <v>340</v>
      </c>
      <c r="P10" s="234" t="s">
        <v>907</v>
      </c>
      <c r="Q10" s="235" t="s">
        <v>908</v>
      </c>
      <c r="R10" s="215" t="s">
        <v>909</v>
      </c>
      <c r="S10" s="234" t="s">
        <v>910</v>
      </c>
      <c r="W10" s="233"/>
    </row>
    <row r="11" spans="1:23" ht="45">
      <c r="N11" s="235" t="s">
        <v>911</v>
      </c>
      <c r="O11" s="215" t="s">
        <v>912</v>
      </c>
      <c r="P11" s="234" t="s">
        <v>913</v>
      </c>
      <c r="Q11" s="235"/>
      <c r="R11" s="215" t="s">
        <v>914</v>
      </c>
      <c r="S11" s="234" t="s">
        <v>915</v>
      </c>
      <c r="W11" s="233"/>
    </row>
    <row r="12" spans="1:23" ht="30">
      <c r="N12" s="235" t="s">
        <v>916</v>
      </c>
      <c r="P12" s="234" t="s">
        <v>917</v>
      </c>
      <c r="Q12" s="235"/>
      <c r="R12" s="215" t="s">
        <v>428</v>
      </c>
      <c r="S12" s="234"/>
      <c r="W12" s="233"/>
    </row>
    <row r="13" spans="1:23" ht="30.75" thickBot="1">
      <c r="N13" s="232" t="s">
        <v>918</v>
      </c>
      <c r="O13" s="231"/>
      <c r="P13" s="230" t="s">
        <v>919</v>
      </c>
      <c r="Q13" s="232"/>
      <c r="R13" s="231" t="s">
        <v>423</v>
      </c>
      <c r="S13" s="230"/>
      <c r="T13" s="98"/>
      <c r="U13" s="98"/>
      <c r="V13" s="98"/>
      <c r="W13" s="229"/>
    </row>
  </sheetData>
  <mergeCells count="7">
    <mergeCell ref="N4:P4"/>
    <mergeCell ref="Q4:S4"/>
    <mergeCell ref="A1:W1"/>
    <mergeCell ref="A2:W2"/>
    <mergeCell ref="N3:W3"/>
    <mergeCell ref="A3:H3"/>
    <mergeCell ref="I3:M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13"/>
  <sheetViews>
    <sheetView workbookViewId="0">
      <selection activeCell="D6" sqref="D6"/>
    </sheetView>
  </sheetViews>
  <sheetFormatPr defaultRowHeight="15"/>
  <cols>
    <col min="1" max="1" width="15.42578125" style="215" customWidth="1"/>
    <col min="2" max="2" width="14.28515625" style="215" customWidth="1"/>
    <col min="3" max="3" width="13.85546875" style="215" customWidth="1"/>
    <col min="4" max="4" width="13.7109375" style="215" customWidth="1"/>
    <col min="5" max="5" width="17.140625" style="215" customWidth="1"/>
    <col min="6" max="6" width="14.28515625" style="215" customWidth="1"/>
    <col min="7" max="7" width="13.42578125" style="215" customWidth="1"/>
    <col min="8" max="8" width="16.42578125" style="215" customWidth="1"/>
    <col min="9" max="9" width="21.28515625" customWidth="1"/>
    <col min="10" max="10" width="15.85546875" customWidth="1"/>
    <col min="11" max="11" width="16.7109375" customWidth="1"/>
    <col min="12" max="12" width="13.140625" customWidth="1"/>
    <col min="13" max="13" width="12.28515625" customWidth="1"/>
    <col min="14" max="14" width="12.5703125" style="215" customWidth="1"/>
    <col min="15" max="15" width="11.28515625" style="215" customWidth="1"/>
    <col min="16" max="16" width="9.140625" style="215"/>
    <col min="17" max="17" width="11.28515625" style="215" customWidth="1"/>
    <col min="18" max="18" width="11.5703125" style="215" customWidth="1"/>
    <col min="19" max="19" width="9.5703125" style="215" customWidth="1"/>
    <col min="20" max="20" width="14.140625" customWidth="1"/>
    <col min="21" max="21" width="10.28515625" customWidth="1"/>
    <col min="22" max="22" width="13.140625" customWidth="1"/>
    <col min="23" max="23" width="13.28515625" customWidth="1"/>
  </cols>
  <sheetData>
    <row r="1" spans="1:23">
      <c r="A1" s="252" t="s">
        <v>844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</row>
    <row r="2" spans="1:23" ht="15.75" thickBot="1">
      <c r="A2" s="252" t="s">
        <v>845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3" ht="43.9" customHeight="1" thickBot="1">
      <c r="A3" s="253" t="s">
        <v>846</v>
      </c>
      <c r="B3" s="254"/>
      <c r="C3" s="254"/>
      <c r="D3" s="254"/>
      <c r="E3" s="254"/>
      <c r="F3" s="254"/>
      <c r="G3" s="254"/>
      <c r="H3" s="254"/>
      <c r="I3" s="256" t="s">
        <v>847</v>
      </c>
      <c r="J3" s="257"/>
      <c r="K3" s="257"/>
      <c r="L3" s="257"/>
      <c r="M3" s="257"/>
      <c r="N3" s="253" t="s">
        <v>848</v>
      </c>
      <c r="O3" s="254"/>
      <c r="P3" s="254"/>
      <c r="Q3" s="254"/>
      <c r="R3" s="254"/>
      <c r="S3" s="254"/>
      <c r="T3" s="254"/>
      <c r="U3" s="254"/>
      <c r="V3" s="254"/>
      <c r="W3" s="255"/>
    </row>
    <row r="4" spans="1:23" ht="90.75" thickBot="1">
      <c r="A4" s="228" t="s">
        <v>849</v>
      </c>
      <c r="B4" s="227" t="s">
        <v>850</v>
      </c>
      <c r="C4" s="227" t="s">
        <v>851</v>
      </c>
      <c r="D4" s="227" t="s">
        <v>852</v>
      </c>
      <c r="E4" s="227" t="s">
        <v>853</v>
      </c>
      <c r="F4" s="227" t="s">
        <v>854</v>
      </c>
      <c r="G4" s="227" t="s">
        <v>855</v>
      </c>
      <c r="H4" s="227" t="s">
        <v>856</v>
      </c>
      <c r="I4" s="239" t="s">
        <v>857</v>
      </c>
      <c r="J4" s="240" t="s">
        <v>858</v>
      </c>
      <c r="K4" s="240" t="s">
        <v>859</v>
      </c>
      <c r="L4" s="240" t="s">
        <v>860</v>
      </c>
      <c r="M4" s="240" t="s">
        <v>861</v>
      </c>
      <c r="N4" s="249" t="s">
        <v>862</v>
      </c>
      <c r="O4" s="250"/>
      <c r="P4" s="251"/>
      <c r="Q4" s="249" t="s">
        <v>863</v>
      </c>
      <c r="R4" s="250"/>
      <c r="S4" s="251"/>
      <c r="T4" s="240" t="s">
        <v>864</v>
      </c>
      <c r="U4" s="240" t="s">
        <v>865</v>
      </c>
      <c r="V4" s="240" t="s">
        <v>866</v>
      </c>
      <c r="W4" s="241" t="s">
        <v>867</v>
      </c>
    </row>
    <row r="5" spans="1:23" ht="60.75" thickBot="1">
      <c r="I5" s="238" t="s">
        <v>208</v>
      </c>
      <c r="J5" t="s">
        <v>868</v>
      </c>
      <c r="K5" t="s">
        <v>568</v>
      </c>
      <c r="N5" s="239" t="s">
        <v>869</v>
      </c>
      <c r="O5" s="240" t="s">
        <v>870</v>
      </c>
      <c r="P5" s="241" t="s">
        <v>871</v>
      </c>
      <c r="Q5" s="239" t="s">
        <v>872</v>
      </c>
      <c r="R5" s="240" t="s">
        <v>873</v>
      </c>
      <c r="S5" s="241" t="s">
        <v>874</v>
      </c>
      <c r="T5" s="237" t="s">
        <v>875</v>
      </c>
      <c r="W5" s="233"/>
    </row>
    <row r="6" spans="1:23" ht="60">
      <c r="I6" s="238" t="s">
        <v>876</v>
      </c>
      <c r="J6" t="s">
        <v>877</v>
      </c>
      <c r="K6" t="s">
        <v>878</v>
      </c>
      <c r="N6" s="235" t="s">
        <v>879</v>
      </c>
      <c r="O6" s="215" t="s">
        <v>356</v>
      </c>
      <c r="P6" s="234" t="s">
        <v>880</v>
      </c>
      <c r="Q6" s="235" t="s">
        <v>881</v>
      </c>
      <c r="R6" s="215" t="s">
        <v>882</v>
      </c>
      <c r="S6" s="234" t="s">
        <v>883</v>
      </c>
      <c r="T6" s="237" t="s">
        <v>884</v>
      </c>
      <c r="W6" s="233"/>
    </row>
    <row r="7" spans="1:23" ht="60">
      <c r="I7" s="238" t="s">
        <v>885</v>
      </c>
      <c r="J7" t="s">
        <v>886</v>
      </c>
      <c r="K7" t="s">
        <v>887</v>
      </c>
      <c r="N7" s="235" t="s">
        <v>369</v>
      </c>
      <c r="O7" s="215" t="s">
        <v>888</v>
      </c>
      <c r="P7" s="234" t="s">
        <v>889</v>
      </c>
      <c r="Q7" s="235" t="s">
        <v>890</v>
      </c>
      <c r="R7" s="215" t="s">
        <v>891</v>
      </c>
      <c r="S7" s="234" t="s">
        <v>892</v>
      </c>
      <c r="T7" s="237" t="s">
        <v>893</v>
      </c>
      <c r="W7" s="233"/>
    </row>
    <row r="8" spans="1:23" ht="45">
      <c r="I8" s="238" t="s">
        <v>894</v>
      </c>
      <c r="J8" t="s">
        <v>895</v>
      </c>
      <c r="K8" t="s">
        <v>896</v>
      </c>
      <c r="N8" s="235" t="s">
        <v>387</v>
      </c>
      <c r="O8" s="215" t="s">
        <v>897</v>
      </c>
      <c r="P8" s="234" t="s">
        <v>187</v>
      </c>
      <c r="Q8" s="235" t="s">
        <v>898</v>
      </c>
      <c r="R8" s="215" t="s">
        <v>899</v>
      </c>
      <c r="S8" s="234" t="s">
        <v>900</v>
      </c>
      <c r="T8" s="237" t="s">
        <v>901</v>
      </c>
      <c r="W8" s="233"/>
    </row>
    <row r="9" spans="1:23" ht="30.75" thickBot="1">
      <c r="I9" s="236"/>
      <c r="J9" s="98" t="s">
        <v>479</v>
      </c>
      <c r="K9" s="98"/>
      <c r="L9" s="98"/>
      <c r="M9" s="98"/>
      <c r="N9" s="235" t="s">
        <v>902</v>
      </c>
      <c r="O9" s="215" t="s">
        <v>903</v>
      </c>
      <c r="P9" s="234" t="s">
        <v>904</v>
      </c>
      <c r="Q9" s="235" t="s">
        <v>233</v>
      </c>
      <c r="R9" s="215" t="s">
        <v>410</v>
      </c>
      <c r="S9" s="234" t="s">
        <v>905</v>
      </c>
      <c r="W9" s="233"/>
    </row>
    <row r="10" spans="1:23" ht="30">
      <c r="N10" s="235" t="s">
        <v>906</v>
      </c>
      <c r="O10" s="215" t="s">
        <v>340</v>
      </c>
      <c r="P10" s="234" t="s">
        <v>907</v>
      </c>
      <c r="Q10" s="235" t="s">
        <v>908</v>
      </c>
      <c r="R10" s="215" t="s">
        <v>909</v>
      </c>
      <c r="S10" s="234" t="s">
        <v>910</v>
      </c>
      <c r="W10" s="233"/>
    </row>
    <row r="11" spans="1:23" ht="45">
      <c r="N11" s="235" t="s">
        <v>911</v>
      </c>
      <c r="O11" s="215" t="s">
        <v>912</v>
      </c>
      <c r="P11" s="234" t="s">
        <v>913</v>
      </c>
      <c r="Q11" s="235"/>
      <c r="R11" s="215" t="s">
        <v>914</v>
      </c>
      <c r="S11" s="234" t="s">
        <v>915</v>
      </c>
      <c r="W11" s="233"/>
    </row>
    <row r="12" spans="1:23" ht="30">
      <c r="N12" s="235" t="s">
        <v>916</v>
      </c>
      <c r="P12" s="234" t="s">
        <v>917</v>
      </c>
      <c r="Q12" s="235"/>
      <c r="R12" s="215" t="s">
        <v>428</v>
      </c>
      <c r="S12" s="234"/>
      <c r="W12" s="233"/>
    </row>
    <row r="13" spans="1:23" ht="30.75" thickBot="1">
      <c r="N13" s="232" t="s">
        <v>918</v>
      </c>
      <c r="O13" s="231"/>
      <c r="P13" s="230" t="s">
        <v>919</v>
      </c>
      <c r="Q13" s="232"/>
      <c r="R13" s="231" t="s">
        <v>423</v>
      </c>
      <c r="S13" s="230"/>
      <c r="T13" s="98"/>
      <c r="U13" s="98"/>
      <c r="V13" s="98"/>
      <c r="W13" s="229"/>
    </row>
  </sheetData>
  <mergeCells count="7">
    <mergeCell ref="N4:P4"/>
    <mergeCell ref="Q4:S4"/>
    <mergeCell ref="A1:W1"/>
    <mergeCell ref="A2:W2"/>
    <mergeCell ref="A3:H3"/>
    <mergeCell ref="I3:M3"/>
    <mergeCell ref="N3:W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CJ114"/>
  <sheetViews>
    <sheetView zoomScaleNormal="100" workbookViewId="0">
      <pane ySplit="2" topLeftCell="A3" activePane="bottomLeft" state="frozen"/>
      <selection pane="bottomLeft" activeCell="E25" sqref="E25"/>
    </sheetView>
  </sheetViews>
  <sheetFormatPr defaultColWidth="9.28515625" defaultRowHeight="15" outlineLevelCol="1"/>
  <cols>
    <col min="1" max="1" width="32.85546875" style="78" customWidth="1"/>
    <col min="2" max="2" width="25" style="207" customWidth="1"/>
    <col min="3" max="3" width="9.28515625" customWidth="1"/>
    <col min="4" max="4" width="9.42578125" style="64" customWidth="1"/>
    <col min="5" max="5" width="21.42578125" style="78" bestFit="1" customWidth="1"/>
    <col min="6" max="6" width="25.42578125" customWidth="1"/>
    <col min="7" max="7" width="13.5703125" bestFit="1" customWidth="1"/>
    <col min="8" max="8" width="7.28515625" customWidth="1"/>
    <col min="9" max="9" width="10.28515625" customWidth="1"/>
    <col min="10" max="10" width="7.42578125" style="141" customWidth="1"/>
    <col min="11" max="11" width="14" bestFit="1" customWidth="1"/>
    <col min="12" max="12" width="36.7109375" style="104" customWidth="1"/>
    <col min="13" max="13" width="19.5703125" style="104" customWidth="1"/>
    <col min="14" max="14" width="19" hidden="1" customWidth="1" outlineLevel="1"/>
    <col min="15" max="15" width="11" hidden="1" customWidth="1" outlineLevel="1"/>
    <col min="16" max="16" width="16.85546875" hidden="1" customWidth="1" outlineLevel="1"/>
    <col min="17" max="17" width="17.42578125" hidden="1" customWidth="1" outlineLevel="1"/>
    <col min="18" max="18" width="11.5703125" hidden="1" customWidth="1" outlineLevel="1"/>
    <col min="19" max="19" width="8.5703125" hidden="1" customWidth="1" outlineLevel="1"/>
    <col min="20" max="20" width="10.5703125" hidden="1" customWidth="1" outlineLevel="1"/>
    <col min="21" max="21" width="9.28515625" hidden="1" customWidth="1" outlineLevel="1"/>
    <col min="22" max="22" width="9.28515625" collapsed="1"/>
    <col min="33" max="42" width="9.28515625" style="19"/>
  </cols>
  <sheetData>
    <row r="1" spans="1:88" s="8" customFormat="1" ht="19.5">
      <c r="A1" s="258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60"/>
      <c r="M1" s="18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0"/>
      <c r="AJ1" s="20"/>
      <c r="AK1" s="20"/>
      <c r="AL1" s="20"/>
      <c r="AM1" s="20"/>
      <c r="AN1" s="20"/>
      <c r="AO1" s="20"/>
      <c r="AP1" s="20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s="135" customFormat="1" ht="60">
      <c r="A2" s="165" t="s">
        <v>1</v>
      </c>
      <c r="B2" s="205" t="s">
        <v>4</v>
      </c>
      <c r="C2" s="165" t="s">
        <v>3</v>
      </c>
      <c r="D2" s="166" t="s">
        <v>920</v>
      </c>
      <c r="E2" s="165" t="s">
        <v>2</v>
      </c>
      <c r="F2" s="165" t="s">
        <v>6</v>
      </c>
      <c r="G2" s="165" t="s">
        <v>7</v>
      </c>
      <c r="H2" s="165" t="s">
        <v>8</v>
      </c>
      <c r="I2" s="165" t="s">
        <v>786</v>
      </c>
      <c r="J2" s="165" t="s">
        <v>9</v>
      </c>
      <c r="K2" s="165" t="s">
        <v>10</v>
      </c>
      <c r="L2" s="167" t="s">
        <v>11</v>
      </c>
      <c r="M2" s="189" t="s">
        <v>921</v>
      </c>
      <c r="N2" s="168" t="s">
        <v>922</v>
      </c>
      <c r="O2" s="168" t="s">
        <v>923</v>
      </c>
      <c r="P2" s="168" t="s">
        <v>924</v>
      </c>
      <c r="Q2" s="168" t="s">
        <v>925</v>
      </c>
      <c r="R2" s="168" t="s">
        <v>926</v>
      </c>
      <c r="S2" s="168" t="s">
        <v>927</v>
      </c>
      <c r="T2" s="169" t="s">
        <v>928</v>
      </c>
      <c r="U2" s="170" t="s">
        <v>134</v>
      </c>
      <c r="V2" s="171"/>
      <c r="W2" s="171"/>
      <c r="X2" s="171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  <c r="CI2" s="171"/>
    </row>
    <row r="3" spans="1:88" s="86" customFormat="1" ht="16.5" thickBot="1">
      <c r="A3" s="128" t="s">
        <v>90</v>
      </c>
      <c r="B3" s="206"/>
      <c r="C3" s="110"/>
      <c r="D3" s="118" t="s">
        <v>929</v>
      </c>
      <c r="E3" s="111" t="s">
        <v>930</v>
      </c>
      <c r="F3" s="112" t="s">
        <v>931</v>
      </c>
      <c r="G3" s="113" t="s">
        <v>17</v>
      </c>
      <c r="H3" s="110" t="s">
        <v>18</v>
      </c>
      <c r="I3" s="110">
        <v>54455</v>
      </c>
      <c r="J3" s="136">
        <v>14334</v>
      </c>
      <c r="K3" s="114" t="s">
        <v>932</v>
      </c>
      <c r="L3" s="162" t="s">
        <v>933</v>
      </c>
      <c r="M3" s="190"/>
      <c r="N3" s="87"/>
      <c r="O3" s="87"/>
      <c r="P3" s="164"/>
      <c r="Q3" s="164"/>
      <c r="R3" s="164"/>
      <c r="S3" s="87"/>
      <c r="T3" s="87"/>
      <c r="U3" s="153" t="s">
        <v>934</v>
      </c>
      <c r="V3" s="87"/>
      <c r="W3" s="87"/>
      <c r="X3" s="87"/>
      <c r="Y3" s="1"/>
      <c r="Z3" s="1"/>
      <c r="AA3" s="1"/>
      <c r="AB3" s="1"/>
      <c r="AC3" s="1"/>
      <c r="AD3" s="1"/>
      <c r="AE3" s="1"/>
      <c r="AF3" s="1"/>
      <c r="AG3" s="1"/>
      <c r="AH3" s="1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</row>
    <row r="4" spans="1:88" s="83" customFormat="1">
      <c r="A4" s="89" t="s">
        <v>935</v>
      </c>
      <c r="B4" s="207"/>
      <c r="C4" s="17"/>
      <c r="D4" s="90" t="s">
        <v>936</v>
      </c>
      <c r="E4" s="78" t="s">
        <v>937</v>
      </c>
      <c r="F4" t="s">
        <v>938</v>
      </c>
      <c r="G4" s="93" t="s">
        <v>939</v>
      </c>
      <c r="H4" s="92" t="s">
        <v>18</v>
      </c>
      <c r="I4" s="92">
        <v>54456</v>
      </c>
      <c r="J4" s="137">
        <v>15317</v>
      </c>
      <c r="K4" s="16" t="s">
        <v>940</v>
      </c>
      <c r="L4" s="133" t="s">
        <v>941</v>
      </c>
      <c r="M4" s="191"/>
      <c r="N4" s="84"/>
      <c r="O4" s="84"/>
      <c r="P4" s="85"/>
      <c r="Q4" s="85"/>
      <c r="R4" s="85"/>
      <c r="S4" s="84"/>
      <c r="T4" s="84"/>
      <c r="U4" s="154" t="s">
        <v>186</v>
      </c>
      <c r="V4" s="84"/>
      <c r="W4" s="84"/>
      <c r="X4" s="84"/>
      <c r="Y4" s="1"/>
      <c r="Z4" s="1"/>
      <c r="AA4" s="1"/>
      <c r="AB4" s="1"/>
      <c r="AC4" s="1"/>
      <c r="AD4" s="1"/>
      <c r="AE4" s="1"/>
      <c r="AF4" s="1"/>
      <c r="AG4" s="1"/>
      <c r="AH4" s="1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</row>
    <row r="5" spans="1:88" s="83" customFormat="1" ht="15.75" thickBot="1">
      <c r="A5" s="129" t="s">
        <v>942</v>
      </c>
      <c r="B5" s="208"/>
      <c r="C5" s="105"/>
      <c r="D5" s="109" t="s">
        <v>943</v>
      </c>
      <c r="E5" s="108" t="s">
        <v>944</v>
      </c>
      <c r="F5" s="106" t="s">
        <v>945</v>
      </c>
      <c r="G5" s="106" t="s">
        <v>205</v>
      </c>
      <c r="H5" s="105" t="s">
        <v>18</v>
      </c>
      <c r="I5" s="105">
        <v>54742</v>
      </c>
      <c r="J5" s="138">
        <v>15318</v>
      </c>
      <c r="K5" s="107" t="s">
        <v>946</v>
      </c>
      <c r="L5" s="163" t="s">
        <v>947</v>
      </c>
      <c r="M5" s="191"/>
      <c r="N5" s="84"/>
      <c r="O5" s="84"/>
      <c r="P5" s="85"/>
      <c r="Q5" s="85"/>
      <c r="R5" s="85"/>
      <c r="S5" s="84"/>
      <c r="T5" s="84"/>
      <c r="U5" s="134" t="s">
        <v>134</v>
      </c>
      <c r="V5" s="84"/>
      <c r="W5" s="84"/>
      <c r="X5" s="84"/>
      <c r="Y5" s="1"/>
      <c r="Z5" s="1"/>
      <c r="AA5" s="1"/>
      <c r="AB5" s="1"/>
      <c r="AC5" s="1"/>
      <c r="AD5" s="1"/>
      <c r="AE5" s="1"/>
      <c r="AF5" s="1"/>
      <c r="AG5" s="1"/>
      <c r="AH5" s="1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</row>
    <row r="6" spans="1:88" ht="17.25" thickTop="1" thickBot="1">
      <c r="A6" s="128" t="s">
        <v>948</v>
      </c>
      <c r="B6" s="206"/>
      <c r="C6" s="110"/>
      <c r="D6" s="118" t="s">
        <v>949</v>
      </c>
      <c r="E6" s="111" t="s">
        <v>950</v>
      </c>
      <c r="F6" s="112" t="s">
        <v>951</v>
      </c>
      <c r="G6" s="113" t="s">
        <v>952</v>
      </c>
      <c r="H6" s="110" t="s">
        <v>18</v>
      </c>
      <c r="I6" s="110">
        <v>54745</v>
      </c>
      <c r="J6" s="136">
        <v>15275</v>
      </c>
      <c r="K6" s="114" t="s">
        <v>953</v>
      </c>
      <c r="L6" s="162" t="s">
        <v>954</v>
      </c>
      <c r="M6" s="190"/>
      <c r="U6" s="134" t="s">
        <v>186</v>
      </c>
      <c r="V6" s="19"/>
      <c r="W6" s="19"/>
      <c r="X6" s="19"/>
      <c r="Y6" s="1"/>
      <c r="Z6" s="1"/>
      <c r="AA6" s="1"/>
      <c r="AB6" s="1"/>
      <c r="AC6" s="1"/>
      <c r="AD6" s="1"/>
      <c r="AE6" s="1"/>
      <c r="AF6" s="1"/>
      <c r="AG6" s="1"/>
      <c r="AH6" s="1"/>
      <c r="AI6"/>
      <c r="AJ6"/>
      <c r="AK6"/>
      <c r="AL6"/>
      <c r="AM6"/>
      <c r="AN6"/>
      <c r="AO6"/>
      <c r="AP6"/>
    </row>
    <row r="7" spans="1:88">
      <c r="A7" s="89" t="s">
        <v>5</v>
      </c>
      <c r="C7" s="17"/>
      <c r="D7" s="90" t="s">
        <v>955</v>
      </c>
      <c r="E7" s="78" t="s">
        <v>906</v>
      </c>
      <c r="F7" t="s">
        <v>956</v>
      </c>
      <c r="G7" s="93" t="s">
        <v>957</v>
      </c>
      <c r="H7" s="92" t="s">
        <v>131</v>
      </c>
      <c r="I7" s="92">
        <v>60467</v>
      </c>
      <c r="J7" s="137">
        <v>15319</v>
      </c>
      <c r="K7" s="16" t="s">
        <v>958</v>
      </c>
      <c r="L7" s="133" t="s">
        <v>959</v>
      </c>
      <c r="M7" s="191"/>
      <c r="U7" s="134" t="s">
        <v>134</v>
      </c>
      <c r="V7" s="19"/>
      <c r="W7" s="19"/>
      <c r="X7" s="19"/>
      <c r="Y7" s="1"/>
      <c r="Z7" s="1"/>
      <c r="AA7" s="1"/>
      <c r="AB7" s="1"/>
      <c r="AC7" s="1"/>
      <c r="AD7" s="1"/>
      <c r="AE7" s="1"/>
      <c r="AF7" s="1"/>
      <c r="AG7" s="1"/>
      <c r="AH7" s="1"/>
      <c r="AI7"/>
      <c r="AJ7"/>
      <c r="AK7"/>
      <c r="AL7"/>
      <c r="AM7"/>
      <c r="AN7"/>
      <c r="AO7"/>
      <c r="AP7"/>
    </row>
    <row r="8" spans="1:88">
      <c r="A8" s="132" t="s">
        <v>960</v>
      </c>
      <c r="B8" s="209" t="s">
        <v>961</v>
      </c>
      <c r="C8" s="17"/>
      <c r="D8" s="90"/>
      <c r="E8" s="78" t="s">
        <v>895</v>
      </c>
      <c r="F8" t="s">
        <v>962</v>
      </c>
      <c r="G8" t="s">
        <v>963</v>
      </c>
      <c r="H8" s="17" t="s">
        <v>245</v>
      </c>
      <c r="I8" s="17">
        <v>80108</v>
      </c>
      <c r="J8" s="137">
        <v>13517</v>
      </c>
      <c r="K8" s="16"/>
      <c r="L8" s="133" t="s">
        <v>964</v>
      </c>
      <c r="M8" s="191"/>
      <c r="U8" s="134"/>
      <c r="W8" s="19"/>
      <c r="X8" s="19"/>
      <c r="Y8" s="1"/>
      <c r="Z8" s="1"/>
      <c r="AA8" s="1"/>
      <c r="AB8" s="1"/>
      <c r="AC8" s="1"/>
      <c r="AD8" s="1"/>
      <c r="AE8" s="1"/>
      <c r="AF8" s="1"/>
      <c r="AG8" s="1"/>
      <c r="AH8" s="1"/>
      <c r="AI8"/>
      <c r="AJ8"/>
      <c r="AK8"/>
      <c r="AL8"/>
      <c r="AM8"/>
      <c r="AN8"/>
      <c r="AO8"/>
      <c r="AP8"/>
    </row>
    <row r="9" spans="1:88" ht="16.5" thickBot="1">
      <c r="A9" s="128" t="s">
        <v>965</v>
      </c>
      <c r="B9" s="206"/>
      <c r="C9" s="110"/>
      <c r="D9" s="118" t="s">
        <v>966</v>
      </c>
      <c r="E9" s="111" t="s">
        <v>967</v>
      </c>
      <c r="F9" s="112" t="s">
        <v>968</v>
      </c>
      <c r="G9" s="113" t="s">
        <v>116</v>
      </c>
      <c r="H9" s="110" t="s">
        <v>18</v>
      </c>
      <c r="I9" s="110">
        <v>54476</v>
      </c>
      <c r="J9" s="136">
        <v>14339</v>
      </c>
      <c r="K9" s="114" t="s">
        <v>969</v>
      </c>
      <c r="L9" s="162" t="s">
        <v>970</v>
      </c>
      <c r="M9" s="190"/>
      <c r="U9" s="134" t="s">
        <v>137</v>
      </c>
      <c r="AF9" s="19"/>
      <c r="AP9"/>
    </row>
    <row r="10" spans="1:88">
      <c r="A10" s="179" t="s">
        <v>971</v>
      </c>
      <c r="B10" s="210"/>
      <c r="C10" s="180"/>
      <c r="D10" s="181" t="s">
        <v>972</v>
      </c>
      <c r="E10" s="182" t="s">
        <v>973</v>
      </c>
      <c r="F10" s="183" t="s">
        <v>974</v>
      </c>
      <c r="G10" s="184" t="s">
        <v>793</v>
      </c>
      <c r="H10" s="185" t="s">
        <v>18</v>
      </c>
      <c r="I10" s="185">
        <v>54701</v>
      </c>
      <c r="J10" s="186">
        <v>60219</v>
      </c>
      <c r="K10" s="180" t="s">
        <v>975</v>
      </c>
      <c r="L10" s="187" t="s">
        <v>976</v>
      </c>
      <c r="M10" s="192"/>
      <c r="U10" s="134" t="s">
        <v>977</v>
      </c>
      <c r="AF10" s="19"/>
      <c r="AP10"/>
    </row>
    <row r="11" spans="1:88" ht="15.75">
      <c r="A11" s="89" t="s">
        <v>978</v>
      </c>
      <c r="C11" s="173"/>
      <c r="D11" s="174" t="s">
        <v>979</v>
      </c>
      <c r="E11" s="175" t="s">
        <v>14</v>
      </c>
      <c r="F11" s="216" t="s">
        <v>16</v>
      </c>
      <c r="G11" s="176" t="s">
        <v>17</v>
      </c>
      <c r="H11" s="173" t="s">
        <v>18</v>
      </c>
      <c r="I11" s="173">
        <v>54455</v>
      </c>
      <c r="J11" s="177">
        <v>13325</v>
      </c>
      <c r="K11" s="178" t="s">
        <v>19</v>
      </c>
      <c r="L11" s="133" t="s">
        <v>20</v>
      </c>
      <c r="M11" s="191"/>
      <c r="U11" s="134" t="s">
        <v>980</v>
      </c>
      <c r="AF11" s="19"/>
      <c r="AP11"/>
    </row>
    <row r="12" spans="1:88">
      <c r="A12" s="89" t="s">
        <v>981</v>
      </c>
      <c r="C12" s="17"/>
      <c r="D12" s="90" t="s">
        <v>982</v>
      </c>
      <c r="E12" s="78" t="s">
        <v>983</v>
      </c>
      <c r="F12" t="s">
        <v>984</v>
      </c>
      <c r="G12" s="93" t="s">
        <v>985</v>
      </c>
      <c r="H12" s="92" t="s">
        <v>294</v>
      </c>
      <c r="I12" s="92">
        <v>50401</v>
      </c>
      <c r="J12" s="137">
        <v>14372</v>
      </c>
      <c r="K12" s="16" t="s">
        <v>986</v>
      </c>
      <c r="L12" s="133" t="s">
        <v>987</v>
      </c>
      <c r="M12" s="191"/>
      <c r="N12" s="17"/>
      <c r="U12" s="155" t="s">
        <v>977</v>
      </c>
      <c r="AG12"/>
      <c r="AH12"/>
      <c r="AI12"/>
      <c r="AJ12"/>
      <c r="AK12"/>
      <c r="AL12"/>
      <c r="AM12"/>
      <c r="AN12"/>
      <c r="AO12"/>
      <c r="AP12"/>
    </row>
    <row r="13" spans="1:88">
      <c r="A13" s="89" t="s">
        <v>981</v>
      </c>
      <c r="C13" s="17"/>
      <c r="D13" s="90" t="s">
        <v>988</v>
      </c>
      <c r="E13" s="78" t="s">
        <v>989</v>
      </c>
      <c r="F13" t="s">
        <v>990</v>
      </c>
      <c r="G13" s="93" t="s">
        <v>991</v>
      </c>
      <c r="H13" s="92" t="s">
        <v>992</v>
      </c>
      <c r="I13" s="92">
        <v>61201</v>
      </c>
      <c r="J13" s="137">
        <v>14370</v>
      </c>
      <c r="K13" s="16" t="s">
        <v>993</v>
      </c>
      <c r="L13" s="133" t="s">
        <v>994</v>
      </c>
      <c r="M13" s="191"/>
      <c r="U13" s="154" t="s">
        <v>60</v>
      </c>
      <c r="AF13" s="19"/>
      <c r="AP13"/>
    </row>
    <row r="14" spans="1:88" ht="16.5" thickBot="1">
      <c r="A14" s="195" t="s">
        <v>995</v>
      </c>
      <c r="B14" s="211"/>
      <c r="C14" s="114"/>
      <c r="D14" s="118" t="s">
        <v>996</v>
      </c>
      <c r="E14" s="111" t="s">
        <v>997</v>
      </c>
      <c r="F14" s="142" t="s">
        <v>998</v>
      </c>
      <c r="G14" s="142" t="s">
        <v>999</v>
      </c>
      <c r="H14" s="110" t="s">
        <v>18</v>
      </c>
      <c r="I14" s="110">
        <v>54476</v>
      </c>
      <c r="J14" s="136">
        <v>15249</v>
      </c>
      <c r="K14" s="114" t="s">
        <v>1000</v>
      </c>
      <c r="L14" s="162" t="s">
        <v>1001</v>
      </c>
      <c r="M14" s="190"/>
      <c r="U14" t="s">
        <v>186</v>
      </c>
      <c r="AF14" s="19"/>
      <c r="AP14"/>
    </row>
    <row r="15" spans="1:88" s="83" customFormat="1">
      <c r="A15" s="160" t="s">
        <v>978</v>
      </c>
      <c r="B15" s="207"/>
      <c r="C15" s="17"/>
      <c r="D15" s="90" t="s">
        <v>1002</v>
      </c>
      <c r="E15" s="78" t="s">
        <v>1003</v>
      </c>
      <c r="F15" t="s">
        <v>1004</v>
      </c>
      <c r="G15" s="91" t="s">
        <v>1005</v>
      </c>
      <c r="H15" s="92" t="s">
        <v>18</v>
      </c>
      <c r="I15" s="92">
        <v>53555</v>
      </c>
      <c r="J15" s="137">
        <v>17055</v>
      </c>
      <c r="K15" s="16" t="s">
        <v>1006</v>
      </c>
      <c r="L15" s="133" t="s">
        <v>1007</v>
      </c>
      <c r="M15" s="191"/>
      <c r="N15" s="84"/>
      <c r="O15" s="84"/>
      <c r="P15" s="85"/>
      <c r="Q15" s="85"/>
      <c r="R15" s="85"/>
      <c r="S15" s="84"/>
      <c r="T15" s="84"/>
      <c r="U15" t="s">
        <v>186</v>
      </c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</row>
    <row r="16" spans="1:88">
      <c r="A16" s="130" t="s">
        <v>126</v>
      </c>
      <c r="B16" s="212"/>
      <c r="C16" s="119" t="s">
        <v>1008</v>
      </c>
      <c r="D16" s="120" t="s">
        <v>1009</v>
      </c>
      <c r="E16" s="121" t="s">
        <v>1010</v>
      </c>
      <c r="F16" s="145" t="s">
        <v>1011</v>
      </c>
      <c r="G16" s="145" t="s">
        <v>158</v>
      </c>
      <c r="H16" s="123" t="s">
        <v>18</v>
      </c>
      <c r="I16" s="123">
        <v>54487</v>
      </c>
      <c r="J16" s="139">
        <v>25072</v>
      </c>
      <c r="K16" s="144" t="s">
        <v>1012</v>
      </c>
      <c r="L16" s="143" t="s">
        <v>1013</v>
      </c>
      <c r="M16" s="193"/>
      <c r="U16" t="s">
        <v>186</v>
      </c>
      <c r="V16" s="159"/>
      <c r="AF16" s="19"/>
      <c r="AP16"/>
    </row>
    <row r="17" spans="1:87">
      <c r="A17" s="89" t="s">
        <v>147</v>
      </c>
      <c r="B17" s="207" t="s">
        <v>1014</v>
      </c>
      <c r="C17" s="17" t="s">
        <v>140</v>
      </c>
      <c r="D17" s="94" t="s">
        <v>1015</v>
      </c>
      <c r="E17" s="78" t="s">
        <v>880</v>
      </c>
      <c r="F17" s="152" t="s">
        <v>1016</v>
      </c>
      <c r="G17" t="s">
        <v>1017</v>
      </c>
      <c r="H17" s="17" t="s">
        <v>18</v>
      </c>
      <c r="I17" s="17">
        <v>54455</v>
      </c>
      <c r="J17" s="137">
        <v>13348</v>
      </c>
      <c r="K17" s="16" t="s">
        <v>1018</v>
      </c>
      <c r="L17" s="133" t="s">
        <v>1019</v>
      </c>
      <c r="M17" s="191"/>
      <c r="U17" s="134" t="s">
        <v>1020</v>
      </c>
      <c r="AF17" s="19"/>
      <c r="AP17"/>
    </row>
    <row r="18" spans="1:87">
      <c r="A18" s="89" t="s">
        <v>147</v>
      </c>
      <c r="B18" s="207" t="s">
        <v>188</v>
      </c>
      <c r="C18" s="17" t="s">
        <v>140</v>
      </c>
      <c r="D18" s="90" t="s">
        <v>1021</v>
      </c>
      <c r="E18" s="78" t="s">
        <v>187</v>
      </c>
      <c r="F18" t="s">
        <v>1022</v>
      </c>
      <c r="G18" s="93" t="s">
        <v>190</v>
      </c>
      <c r="H18" s="92" t="s">
        <v>43</v>
      </c>
      <c r="I18" s="92">
        <v>49866</v>
      </c>
      <c r="J18" s="137">
        <v>13374</v>
      </c>
      <c r="K18" s="16" t="s">
        <v>191</v>
      </c>
      <c r="L18" s="133" t="s">
        <v>192</v>
      </c>
      <c r="M18" s="191"/>
      <c r="U18" s="134" t="s">
        <v>134</v>
      </c>
      <c r="AF18" s="19"/>
      <c r="AP18"/>
    </row>
    <row r="19" spans="1:87" s="98" customFormat="1" ht="15.75" thickBot="1">
      <c r="A19" s="131" t="s">
        <v>147</v>
      </c>
      <c r="B19" s="213" t="s">
        <v>149</v>
      </c>
      <c r="C19" s="16" t="s">
        <v>140</v>
      </c>
      <c r="D19" s="115" t="s">
        <v>1023</v>
      </c>
      <c r="E19" s="78" t="s">
        <v>889</v>
      </c>
      <c r="F19" s="152" t="s">
        <v>1024</v>
      </c>
      <c r="G19" s="116" t="s">
        <v>99</v>
      </c>
      <c r="H19" s="117" t="s">
        <v>18</v>
      </c>
      <c r="I19" s="117">
        <v>54401</v>
      </c>
      <c r="J19" s="137">
        <v>15218</v>
      </c>
      <c r="K19" s="16" t="s">
        <v>1025</v>
      </c>
      <c r="L19" s="133" t="s">
        <v>1026</v>
      </c>
      <c r="M19" s="191"/>
      <c r="N19"/>
      <c r="O19"/>
      <c r="P19"/>
      <c r="Q19"/>
      <c r="R19"/>
      <c r="S19"/>
      <c r="T19"/>
      <c r="U19" s="134" t="s">
        <v>1027</v>
      </c>
      <c r="V19"/>
      <c r="W19"/>
      <c r="X19"/>
      <c r="Y19"/>
      <c r="Z19"/>
      <c r="AA19"/>
      <c r="AB19"/>
      <c r="AC19"/>
      <c r="AD19"/>
      <c r="AE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</row>
    <row r="20" spans="1:87">
      <c r="A20" s="131" t="s">
        <v>147</v>
      </c>
      <c r="B20" s="213" t="s">
        <v>1028</v>
      </c>
      <c r="C20" s="16" t="s">
        <v>140</v>
      </c>
      <c r="D20" s="96" t="s">
        <v>1029</v>
      </c>
      <c r="E20" s="78" t="s">
        <v>1030</v>
      </c>
      <c r="F20" t="s">
        <v>1031</v>
      </c>
      <c r="G20" s="91" t="s">
        <v>390</v>
      </c>
      <c r="H20" s="92" t="s">
        <v>43</v>
      </c>
      <c r="I20" s="92">
        <v>48357</v>
      </c>
      <c r="J20" s="137">
        <v>25054</v>
      </c>
      <c r="K20" s="16" t="s">
        <v>1032</v>
      </c>
      <c r="L20" s="133" t="s">
        <v>1033</v>
      </c>
      <c r="M20" s="191"/>
      <c r="U20" s="134" t="s">
        <v>134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G20"/>
      <c r="AH20"/>
      <c r="AI20"/>
      <c r="AJ20"/>
      <c r="AK20"/>
      <c r="AL20"/>
      <c r="AM20"/>
      <c r="AN20"/>
      <c r="AO20"/>
      <c r="AP20"/>
    </row>
    <row r="21" spans="1:87">
      <c r="A21" s="89" t="s">
        <v>147</v>
      </c>
      <c r="B21" s="207" t="s">
        <v>1034</v>
      </c>
      <c r="C21" s="16" t="s">
        <v>140</v>
      </c>
      <c r="D21" s="90" t="s">
        <v>1035</v>
      </c>
      <c r="E21" s="78" t="s">
        <v>568</v>
      </c>
      <c r="F21" t="s">
        <v>1036</v>
      </c>
      <c r="G21" s="93" t="s">
        <v>1037</v>
      </c>
      <c r="H21" s="95" t="s">
        <v>43</v>
      </c>
      <c r="I21" s="95">
        <v>49738</v>
      </c>
      <c r="J21" s="137">
        <v>25055</v>
      </c>
      <c r="K21" s="16" t="s">
        <v>595</v>
      </c>
      <c r="L21" s="133" t="s">
        <v>1038</v>
      </c>
      <c r="M21" s="191"/>
      <c r="U21" s="155" t="s">
        <v>137</v>
      </c>
      <c r="AF21" s="19"/>
      <c r="AP21"/>
    </row>
    <row r="22" spans="1:87" s="99" customFormat="1">
      <c r="A22" s="130" t="s">
        <v>126</v>
      </c>
      <c r="B22" s="212"/>
      <c r="C22" s="119" t="s">
        <v>1039</v>
      </c>
      <c r="D22" s="120" t="s">
        <v>1040</v>
      </c>
      <c r="E22" s="121" t="s">
        <v>1041</v>
      </c>
      <c r="F22" s="122" t="s">
        <v>1042</v>
      </c>
      <c r="G22" s="122" t="s">
        <v>1043</v>
      </c>
      <c r="H22" s="123" t="s">
        <v>294</v>
      </c>
      <c r="I22" s="123">
        <v>52040</v>
      </c>
      <c r="J22" s="139">
        <v>25070</v>
      </c>
      <c r="K22" s="124" t="s">
        <v>1044</v>
      </c>
      <c r="L22" s="143" t="s">
        <v>1045</v>
      </c>
      <c r="M22" s="193"/>
      <c r="U22" s="134" t="s">
        <v>134</v>
      </c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</row>
    <row r="23" spans="1:87" s="98" customFormat="1" ht="30.75" thickBot="1">
      <c r="A23" s="89" t="s">
        <v>147</v>
      </c>
      <c r="B23" s="207" t="s">
        <v>1046</v>
      </c>
      <c r="C23" s="17" t="s">
        <v>219</v>
      </c>
      <c r="D23" s="90" t="s">
        <v>1047</v>
      </c>
      <c r="E23" s="78" t="s">
        <v>892</v>
      </c>
      <c r="F23" t="s">
        <v>1048</v>
      </c>
      <c r="G23" s="93" t="s">
        <v>324</v>
      </c>
      <c r="H23" s="92" t="s">
        <v>259</v>
      </c>
      <c r="I23" s="92">
        <v>57034</v>
      </c>
      <c r="J23" s="137">
        <v>14312</v>
      </c>
      <c r="K23" s="16" t="s">
        <v>1049</v>
      </c>
      <c r="L23" s="133" t="s">
        <v>1050</v>
      </c>
      <c r="M23" s="191"/>
      <c r="N23"/>
      <c r="O23"/>
      <c r="P23"/>
      <c r="Q23"/>
      <c r="R23"/>
      <c r="S23"/>
      <c r="T23"/>
      <c r="U23" s="155" t="s">
        <v>60</v>
      </c>
      <c r="V23"/>
      <c r="W23"/>
      <c r="X23"/>
      <c r="Y23"/>
      <c r="Z23"/>
      <c r="AA23"/>
      <c r="AB23"/>
      <c r="AC23"/>
      <c r="AD23"/>
      <c r="AE23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>
      <c r="A24" s="89" t="s">
        <v>147</v>
      </c>
      <c r="B24" s="207" t="s">
        <v>1051</v>
      </c>
      <c r="C24" s="17" t="s">
        <v>219</v>
      </c>
      <c r="D24" s="90" t="s">
        <v>1052</v>
      </c>
      <c r="E24" s="78" t="s">
        <v>905</v>
      </c>
      <c r="F24" t="s">
        <v>1053</v>
      </c>
      <c r="G24" s="93" t="s">
        <v>1043</v>
      </c>
      <c r="H24" s="92" t="s">
        <v>294</v>
      </c>
      <c r="I24" s="92">
        <v>52040</v>
      </c>
      <c r="J24" s="137">
        <v>25051</v>
      </c>
      <c r="K24" s="16" t="s">
        <v>1054</v>
      </c>
      <c r="L24" s="133" t="s">
        <v>1055</v>
      </c>
      <c r="M24" s="191"/>
      <c r="U24" s="134" t="s">
        <v>1020</v>
      </c>
      <c r="AF24" s="19"/>
      <c r="AP24"/>
    </row>
    <row r="25" spans="1:87" ht="15.75">
      <c r="A25" s="89" t="s">
        <v>147</v>
      </c>
      <c r="B25" s="207" t="s">
        <v>1056</v>
      </c>
      <c r="C25" s="17" t="s">
        <v>219</v>
      </c>
      <c r="D25" s="96" t="s">
        <v>1057</v>
      </c>
      <c r="E25" s="78" t="s">
        <v>913</v>
      </c>
      <c r="F25" t="s">
        <v>1058</v>
      </c>
      <c r="G25" s="93" t="s">
        <v>1059</v>
      </c>
      <c r="H25" s="17" t="s">
        <v>18</v>
      </c>
      <c r="I25" s="16">
        <v>53103</v>
      </c>
      <c r="J25" s="137">
        <v>25065</v>
      </c>
      <c r="K25" s="226" t="s">
        <v>1060</v>
      </c>
      <c r="L25" s="133" t="s">
        <v>1061</v>
      </c>
      <c r="M25" s="191"/>
      <c r="U25" s="134" t="s">
        <v>137</v>
      </c>
      <c r="AF25" s="19"/>
      <c r="AP25"/>
    </row>
    <row r="26" spans="1:87">
      <c r="A26" s="89" t="s">
        <v>147</v>
      </c>
      <c r="B26" s="207" t="s">
        <v>1062</v>
      </c>
      <c r="C26" s="17" t="s">
        <v>219</v>
      </c>
      <c r="D26" s="96" t="s">
        <v>1063</v>
      </c>
      <c r="E26" s="78" t="s">
        <v>904</v>
      </c>
      <c r="F26" t="s">
        <v>1064</v>
      </c>
      <c r="G26" t="s">
        <v>1065</v>
      </c>
      <c r="H26" s="17" t="s">
        <v>18</v>
      </c>
      <c r="I26" s="17">
        <v>53546</v>
      </c>
      <c r="J26" s="137">
        <v>25067</v>
      </c>
      <c r="K26" s="16" t="s">
        <v>1066</v>
      </c>
      <c r="L26" s="133" t="s">
        <v>1067</v>
      </c>
      <c r="M26" s="202" t="s">
        <v>1068</v>
      </c>
      <c r="N26" t="s">
        <v>1069</v>
      </c>
      <c r="U26" t="s">
        <v>1069</v>
      </c>
      <c r="AF26" s="19"/>
      <c r="AP26"/>
    </row>
    <row r="27" spans="1:87">
      <c r="A27" s="89" t="s">
        <v>147</v>
      </c>
      <c r="B27" s="207" t="s">
        <v>298</v>
      </c>
      <c r="C27" s="17" t="s">
        <v>219</v>
      </c>
      <c r="D27" s="90" t="s">
        <v>1070</v>
      </c>
      <c r="E27" s="78" t="s">
        <v>900</v>
      </c>
      <c r="F27" t="s">
        <v>1071</v>
      </c>
      <c r="G27" s="101" t="s">
        <v>1072</v>
      </c>
      <c r="H27" s="102" t="s">
        <v>294</v>
      </c>
      <c r="I27" s="102">
        <v>50211</v>
      </c>
      <c r="J27" s="137">
        <v>25052</v>
      </c>
      <c r="K27" s="16" t="s">
        <v>1073</v>
      </c>
      <c r="L27" s="133" t="s">
        <v>1074</v>
      </c>
      <c r="M27" s="191"/>
      <c r="U27" s="134" t="s">
        <v>134</v>
      </c>
      <c r="AF27" s="19"/>
      <c r="AP27"/>
    </row>
    <row r="28" spans="1:87">
      <c r="A28" s="89" t="s">
        <v>147</v>
      </c>
      <c r="B28" s="207" t="s">
        <v>162</v>
      </c>
      <c r="C28" s="17" t="s">
        <v>219</v>
      </c>
      <c r="D28" s="90" t="s">
        <v>1075</v>
      </c>
      <c r="E28" s="78" t="s">
        <v>919</v>
      </c>
      <c r="F28" t="s">
        <v>1076</v>
      </c>
      <c r="G28" s="101" t="s">
        <v>1077</v>
      </c>
      <c r="H28" s="102" t="s">
        <v>18</v>
      </c>
      <c r="I28" s="102">
        <v>54615</v>
      </c>
      <c r="J28" s="137">
        <v>15232</v>
      </c>
      <c r="K28" s="16" t="s">
        <v>1078</v>
      </c>
      <c r="L28" s="133" t="s">
        <v>1079</v>
      </c>
      <c r="M28" s="191"/>
      <c r="U28" s="134" t="s">
        <v>134</v>
      </c>
      <c r="AF28" s="19"/>
      <c r="AP28"/>
    </row>
    <row r="29" spans="1:87">
      <c r="A29" s="89" t="s">
        <v>147</v>
      </c>
      <c r="B29" s="207" t="s">
        <v>1080</v>
      </c>
      <c r="C29" s="17" t="s">
        <v>219</v>
      </c>
      <c r="D29" s="90" t="s">
        <v>1081</v>
      </c>
      <c r="E29" s="78" t="s">
        <v>1082</v>
      </c>
      <c r="F29" t="s">
        <v>1083</v>
      </c>
      <c r="G29" s="93" t="s">
        <v>1084</v>
      </c>
      <c r="H29" s="92" t="s">
        <v>294</v>
      </c>
      <c r="I29" s="92">
        <v>52002</v>
      </c>
      <c r="J29" s="137">
        <v>19378</v>
      </c>
      <c r="K29" s="16" t="s">
        <v>1085</v>
      </c>
      <c r="L29" s="133" t="s">
        <v>1086</v>
      </c>
      <c r="M29" s="191"/>
      <c r="U29" s="134" t="s">
        <v>137</v>
      </c>
      <c r="AF29" s="19"/>
      <c r="AP29"/>
    </row>
    <row r="30" spans="1:87">
      <c r="A30" s="130" t="s">
        <v>126</v>
      </c>
      <c r="B30" s="212"/>
      <c r="C30" s="119" t="s">
        <v>1087</v>
      </c>
      <c r="D30" s="125" t="s">
        <v>1088</v>
      </c>
      <c r="E30" s="121" t="s">
        <v>334</v>
      </c>
      <c r="F30" s="122" t="s">
        <v>336</v>
      </c>
      <c r="G30" s="126" t="s">
        <v>337</v>
      </c>
      <c r="H30" s="123" t="s">
        <v>32</v>
      </c>
      <c r="I30" s="123">
        <v>67215</v>
      </c>
      <c r="J30" s="139">
        <v>25053</v>
      </c>
      <c r="K30" s="124" t="s">
        <v>338</v>
      </c>
      <c r="L30" s="143" t="s">
        <v>339</v>
      </c>
      <c r="M30" s="193"/>
      <c r="U30" s="134" t="s">
        <v>137</v>
      </c>
      <c r="AF30" s="19"/>
      <c r="AP30"/>
    </row>
    <row r="31" spans="1:87">
      <c r="A31" s="89" t="s">
        <v>147</v>
      </c>
      <c r="B31" s="207" t="s">
        <v>362</v>
      </c>
      <c r="C31" s="17" t="s">
        <v>345</v>
      </c>
      <c r="D31" s="90" t="s">
        <v>1089</v>
      </c>
      <c r="E31" s="78" t="s">
        <v>340</v>
      </c>
      <c r="F31" t="s">
        <v>342</v>
      </c>
      <c r="G31" t="s">
        <v>337</v>
      </c>
      <c r="H31" s="17" t="s">
        <v>32</v>
      </c>
      <c r="I31" s="17">
        <v>67212</v>
      </c>
      <c r="J31" s="137">
        <v>13367</v>
      </c>
      <c r="K31" s="16" t="s">
        <v>343</v>
      </c>
      <c r="L31" s="133" t="s">
        <v>344</v>
      </c>
      <c r="M31" s="191"/>
      <c r="N31" s="17"/>
      <c r="U31" s="134" t="s">
        <v>186</v>
      </c>
      <c r="AG31"/>
      <c r="AH31"/>
      <c r="AI31"/>
      <c r="AJ31"/>
      <c r="AK31"/>
      <c r="AL31"/>
      <c r="AM31"/>
      <c r="AN31"/>
      <c r="AO31"/>
      <c r="AP31"/>
    </row>
    <row r="32" spans="1:87" s="99" customFormat="1">
      <c r="A32" s="89" t="s">
        <v>147</v>
      </c>
      <c r="B32" s="207" t="s">
        <v>349</v>
      </c>
      <c r="C32" s="17" t="s">
        <v>345</v>
      </c>
      <c r="D32" s="90" t="s">
        <v>1090</v>
      </c>
      <c r="E32" s="78" t="s">
        <v>883</v>
      </c>
      <c r="F32" t="s">
        <v>1091</v>
      </c>
      <c r="G32" s="93" t="s">
        <v>1092</v>
      </c>
      <c r="H32" s="92" t="s">
        <v>50</v>
      </c>
      <c r="I32" s="92">
        <v>68046</v>
      </c>
      <c r="J32" s="137">
        <v>14336</v>
      </c>
      <c r="K32" s="16" t="s">
        <v>1093</v>
      </c>
      <c r="L32" s="133" t="s">
        <v>1094</v>
      </c>
      <c r="M32" s="191"/>
      <c r="U32" s="134" t="s">
        <v>186</v>
      </c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</row>
    <row r="33" spans="1:42" ht="30">
      <c r="A33" s="89" t="s">
        <v>147</v>
      </c>
      <c r="B33" s="207" t="s">
        <v>1095</v>
      </c>
      <c r="C33" s="17" t="s">
        <v>345</v>
      </c>
      <c r="D33" s="90" t="s">
        <v>1096</v>
      </c>
      <c r="E33" s="78" t="s">
        <v>888</v>
      </c>
      <c r="F33" t="s">
        <v>1097</v>
      </c>
      <c r="G33" s="93" t="s">
        <v>1098</v>
      </c>
      <c r="H33" s="92" t="s">
        <v>373</v>
      </c>
      <c r="I33" s="92">
        <v>64015</v>
      </c>
      <c r="J33" s="137">
        <v>25050</v>
      </c>
      <c r="K33" s="16" t="s">
        <v>1099</v>
      </c>
      <c r="L33" s="133" t="s">
        <v>1100</v>
      </c>
      <c r="M33" s="191"/>
      <c r="U33" s="134" t="s">
        <v>186</v>
      </c>
      <c r="AF33" s="19"/>
      <c r="AP33"/>
    </row>
    <row r="34" spans="1:42">
      <c r="A34" s="89" t="s">
        <v>1101</v>
      </c>
      <c r="B34" s="207" t="s">
        <v>377</v>
      </c>
      <c r="C34" s="17" t="s">
        <v>345</v>
      </c>
      <c r="D34" s="90" t="s">
        <v>1102</v>
      </c>
      <c r="E34" s="78" t="s">
        <v>356</v>
      </c>
      <c r="F34" t="s">
        <v>1103</v>
      </c>
      <c r="G34" s="93" t="s">
        <v>1104</v>
      </c>
      <c r="H34" s="92" t="s">
        <v>373</v>
      </c>
      <c r="I34" s="92">
        <v>65616</v>
      </c>
      <c r="J34" s="137">
        <v>19383</v>
      </c>
      <c r="K34" s="16" t="s">
        <v>380</v>
      </c>
      <c r="L34" s="133" t="s">
        <v>409</v>
      </c>
      <c r="M34" s="191"/>
      <c r="U34" s="134" t="s">
        <v>186</v>
      </c>
      <c r="AF34" s="19"/>
      <c r="AP34"/>
    </row>
    <row r="35" spans="1:42">
      <c r="A35" s="89" t="s">
        <v>1105</v>
      </c>
      <c r="B35" s="207" t="s">
        <v>355</v>
      </c>
      <c r="C35" s="17" t="s">
        <v>345</v>
      </c>
      <c r="D35" s="90" t="s">
        <v>1106</v>
      </c>
      <c r="E35" s="78" t="s">
        <v>897</v>
      </c>
      <c r="F35" t="s">
        <v>1107</v>
      </c>
      <c r="G35" s="93" t="s">
        <v>1108</v>
      </c>
      <c r="H35" s="17" t="s">
        <v>1109</v>
      </c>
      <c r="I35" s="17">
        <v>74066</v>
      </c>
      <c r="J35" s="137">
        <v>25064</v>
      </c>
      <c r="K35" s="16" t="s">
        <v>1110</v>
      </c>
      <c r="L35" s="133" t="s">
        <v>1111</v>
      </c>
      <c r="M35" s="191"/>
      <c r="N35" s="17"/>
      <c r="U35" s="134" t="s">
        <v>186</v>
      </c>
      <c r="AG35"/>
      <c r="AH35"/>
      <c r="AI35"/>
      <c r="AJ35"/>
      <c r="AK35"/>
      <c r="AL35"/>
      <c r="AM35"/>
      <c r="AN35"/>
      <c r="AO35"/>
      <c r="AP35"/>
    </row>
    <row r="36" spans="1:42">
      <c r="A36" s="89" t="s">
        <v>1112</v>
      </c>
      <c r="B36" s="207" t="s">
        <v>1113</v>
      </c>
      <c r="C36" s="17" t="s">
        <v>345</v>
      </c>
      <c r="D36" s="90" t="s">
        <v>1114</v>
      </c>
      <c r="E36" s="78" t="s">
        <v>903</v>
      </c>
      <c r="F36" t="s">
        <v>1115</v>
      </c>
      <c r="G36" s="93" t="s">
        <v>1116</v>
      </c>
      <c r="H36" s="92" t="s">
        <v>32</v>
      </c>
      <c r="I36" s="92">
        <v>66223</v>
      </c>
      <c r="J36" s="137">
        <v>25074</v>
      </c>
      <c r="K36" s="97" t="s">
        <v>1117</v>
      </c>
      <c r="L36" s="133" t="s">
        <v>1118</v>
      </c>
      <c r="M36" s="191"/>
      <c r="N36" t="s">
        <v>1069</v>
      </c>
      <c r="U36" t="s">
        <v>1069</v>
      </c>
      <c r="AF36" s="19"/>
      <c r="AP36"/>
    </row>
    <row r="37" spans="1:42">
      <c r="A37" s="132" t="s">
        <v>1119</v>
      </c>
      <c r="B37" s="209"/>
      <c r="C37" s="17" t="s">
        <v>345</v>
      </c>
      <c r="D37" s="90" t="s">
        <v>1120</v>
      </c>
      <c r="E37" s="78" t="s">
        <v>1121</v>
      </c>
      <c r="F37" t="s">
        <v>1122</v>
      </c>
      <c r="G37" s="93" t="s">
        <v>1123</v>
      </c>
      <c r="H37" s="92" t="s">
        <v>373</v>
      </c>
      <c r="I37" s="92">
        <v>63015</v>
      </c>
      <c r="J37" s="137">
        <v>19382</v>
      </c>
      <c r="K37" s="97" t="s">
        <v>1124</v>
      </c>
      <c r="L37" s="133" t="s">
        <v>1125</v>
      </c>
      <c r="M37" s="191"/>
      <c r="U37" s="134" t="s">
        <v>137</v>
      </c>
      <c r="AF37" s="19"/>
      <c r="AP37"/>
    </row>
    <row r="38" spans="1:42">
      <c r="A38" s="130" t="s">
        <v>126</v>
      </c>
      <c r="B38" s="212"/>
      <c r="C38" s="119" t="s">
        <v>1126</v>
      </c>
      <c r="D38" s="125" t="s">
        <v>1127</v>
      </c>
      <c r="E38" s="121" t="s">
        <v>1128</v>
      </c>
      <c r="F38" s="122" t="s">
        <v>1129</v>
      </c>
      <c r="G38" s="126" t="s">
        <v>1130</v>
      </c>
      <c r="H38" s="127" t="s">
        <v>131</v>
      </c>
      <c r="I38" s="127">
        <v>62629</v>
      </c>
      <c r="J38" s="139">
        <v>25057</v>
      </c>
      <c r="K38" s="124" t="s">
        <v>100</v>
      </c>
      <c r="L38" s="143" t="s">
        <v>101</v>
      </c>
      <c r="M38" s="193"/>
      <c r="U38" s="134" t="s">
        <v>186</v>
      </c>
      <c r="AF38" s="19"/>
      <c r="AP38"/>
    </row>
    <row r="39" spans="1:42">
      <c r="A39" s="89" t="s">
        <v>147</v>
      </c>
      <c r="B39" s="207" t="s">
        <v>1131</v>
      </c>
      <c r="C39" s="17" t="s">
        <v>625</v>
      </c>
      <c r="D39" s="90" t="s">
        <v>1132</v>
      </c>
      <c r="E39" s="78" t="s">
        <v>879</v>
      </c>
      <c r="F39" s="203" t="s">
        <v>1133</v>
      </c>
      <c r="G39" s="93" t="s">
        <v>1134</v>
      </c>
      <c r="H39" s="92" t="s">
        <v>131</v>
      </c>
      <c r="I39" s="92">
        <v>60656</v>
      </c>
      <c r="J39" s="137">
        <v>25075</v>
      </c>
      <c r="K39" s="16" t="s">
        <v>1135</v>
      </c>
      <c r="L39" s="133" t="s">
        <v>1136</v>
      </c>
      <c r="M39" s="191"/>
      <c r="U39" s="134" t="s">
        <v>186</v>
      </c>
      <c r="AF39" s="19"/>
      <c r="AP39"/>
    </row>
    <row r="40" spans="1:42" s="99" customFormat="1">
      <c r="A40" s="89" t="s">
        <v>147</v>
      </c>
      <c r="B40" s="207" t="s">
        <v>383</v>
      </c>
      <c r="C40" s="17" t="s">
        <v>625</v>
      </c>
      <c r="D40" s="90" t="s">
        <v>1137</v>
      </c>
      <c r="E40" s="78" t="s">
        <v>369</v>
      </c>
      <c r="F40" t="s">
        <v>1138</v>
      </c>
      <c r="G40" s="93" t="s">
        <v>1139</v>
      </c>
      <c r="H40" s="95" t="s">
        <v>373</v>
      </c>
      <c r="I40" s="95">
        <v>63367</v>
      </c>
      <c r="J40" s="137">
        <v>25061</v>
      </c>
      <c r="K40" s="16" t="s">
        <v>1140</v>
      </c>
      <c r="L40" s="133" t="s">
        <v>375</v>
      </c>
      <c r="M40" s="191"/>
      <c r="N40" s="17"/>
      <c r="P40"/>
      <c r="Q40"/>
      <c r="R40"/>
      <c r="U40" s="134" t="s">
        <v>134</v>
      </c>
    </row>
    <row r="41" spans="1:42">
      <c r="A41" s="89" t="s">
        <v>147</v>
      </c>
      <c r="B41" s="207" t="s">
        <v>1141</v>
      </c>
      <c r="C41" s="17" t="s">
        <v>625</v>
      </c>
      <c r="D41" s="90" t="s">
        <v>1142</v>
      </c>
      <c r="E41" s="78" t="s">
        <v>918</v>
      </c>
      <c r="F41" t="s">
        <v>1143</v>
      </c>
      <c r="G41" s="93" t="s">
        <v>1144</v>
      </c>
      <c r="H41" s="95" t="s">
        <v>131</v>
      </c>
      <c r="I41" s="95">
        <v>61550</v>
      </c>
      <c r="J41" s="137">
        <v>25068</v>
      </c>
      <c r="K41" s="16" t="s">
        <v>1145</v>
      </c>
      <c r="L41" s="133" t="s">
        <v>1146</v>
      </c>
      <c r="M41" s="191"/>
      <c r="N41" t="s">
        <v>1069</v>
      </c>
      <c r="U41" t="s">
        <v>1069</v>
      </c>
      <c r="AF41" s="19"/>
      <c r="AP41"/>
    </row>
    <row r="42" spans="1:42" s="99" customFormat="1">
      <c r="A42" s="89" t="s">
        <v>147</v>
      </c>
      <c r="B42" s="207" t="s">
        <v>1147</v>
      </c>
      <c r="C42" s="17" t="s">
        <v>625</v>
      </c>
      <c r="D42" s="90" t="s">
        <v>1148</v>
      </c>
      <c r="E42" s="78" t="s">
        <v>387</v>
      </c>
      <c r="F42" t="s">
        <v>1149</v>
      </c>
      <c r="G42" t="s">
        <v>1150</v>
      </c>
      <c r="H42" s="92" t="s">
        <v>373</v>
      </c>
      <c r="I42" s="92">
        <v>63119</v>
      </c>
      <c r="J42" s="137">
        <v>25069</v>
      </c>
      <c r="K42" s="16" t="s">
        <v>391</v>
      </c>
      <c r="L42" s="133" t="s">
        <v>392</v>
      </c>
      <c r="M42" s="191"/>
      <c r="N42" s="17"/>
      <c r="P42"/>
      <c r="Q42"/>
      <c r="R42"/>
      <c r="U42" s="17"/>
    </row>
    <row r="43" spans="1:42" s="99" customFormat="1">
      <c r="A43" s="89" t="s">
        <v>147</v>
      </c>
      <c r="B43" s="207" t="s">
        <v>1151</v>
      </c>
      <c r="C43" s="17" t="s">
        <v>625</v>
      </c>
      <c r="D43" s="90" t="s">
        <v>1152</v>
      </c>
      <c r="E43" s="78" t="s">
        <v>902</v>
      </c>
      <c r="F43" t="s">
        <v>1153</v>
      </c>
      <c r="G43" s="93" t="s">
        <v>1154</v>
      </c>
      <c r="H43" s="92" t="s">
        <v>330</v>
      </c>
      <c r="I43" s="92">
        <v>46077</v>
      </c>
      <c r="J43" s="137">
        <v>25071</v>
      </c>
      <c r="K43" s="16" t="s">
        <v>1155</v>
      </c>
      <c r="L43" s="133" t="s">
        <v>1156</v>
      </c>
      <c r="M43" s="191"/>
      <c r="N43" s="17" t="s">
        <v>1157</v>
      </c>
      <c r="P43"/>
      <c r="Q43"/>
      <c r="R43"/>
      <c r="U43" s="17"/>
    </row>
    <row r="44" spans="1:42" ht="30">
      <c r="A44" s="132" t="s">
        <v>1158</v>
      </c>
      <c r="B44" s="209" t="s">
        <v>1159</v>
      </c>
      <c r="C44" s="17" t="s">
        <v>625</v>
      </c>
      <c r="D44" s="90" t="s">
        <v>1160</v>
      </c>
      <c r="E44" s="78" t="s">
        <v>916</v>
      </c>
      <c r="F44" t="s">
        <v>1161</v>
      </c>
      <c r="G44" s="93" t="s">
        <v>177</v>
      </c>
      <c r="H44" s="92" t="s">
        <v>131</v>
      </c>
      <c r="I44" s="92">
        <v>60513</v>
      </c>
      <c r="J44" s="137">
        <v>25062</v>
      </c>
      <c r="K44" s="16" t="s">
        <v>1162</v>
      </c>
      <c r="L44" s="133" t="s">
        <v>1163</v>
      </c>
      <c r="M44" s="191"/>
      <c r="U44" s="134" t="s">
        <v>186</v>
      </c>
      <c r="AF44" s="19"/>
      <c r="AP44"/>
    </row>
    <row r="45" spans="1:42" s="99" customFormat="1">
      <c r="A45" s="132" t="s">
        <v>1164</v>
      </c>
      <c r="B45" s="209"/>
      <c r="C45" s="17" t="s">
        <v>625</v>
      </c>
      <c r="D45" s="90" t="s">
        <v>1165</v>
      </c>
      <c r="E45" s="78" t="s">
        <v>1166</v>
      </c>
      <c r="F45" t="s">
        <v>1167</v>
      </c>
      <c r="G45" s="93" t="s">
        <v>1130</v>
      </c>
      <c r="H45" s="95" t="s">
        <v>131</v>
      </c>
      <c r="I45" s="95">
        <v>62629</v>
      </c>
      <c r="J45" s="137">
        <v>14347</v>
      </c>
      <c r="K45" s="16" t="s">
        <v>1168</v>
      </c>
      <c r="L45" s="133" t="s">
        <v>1169</v>
      </c>
      <c r="M45" s="191"/>
      <c r="U45" s="134" t="s">
        <v>1020</v>
      </c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</row>
    <row r="46" spans="1:42">
      <c r="A46" s="130" t="s">
        <v>126</v>
      </c>
      <c r="B46" s="212"/>
      <c r="C46" s="119" t="s">
        <v>1170</v>
      </c>
      <c r="D46" s="125" t="s">
        <v>1171</v>
      </c>
      <c r="E46" s="121" t="s">
        <v>1172</v>
      </c>
      <c r="F46" s="126" t="s">
        <v>1173</v>
      </c>
      <c r="G46" s="126" t="s">
        <v>1174</v>
      </c>
      <c r="H46" s="123" t="s">
        <v>73</v>
      </c>
      <c r="I46" s="123">
        <v>55387</v>
      </c>
      <c r="J46" s="140"/>
      <c r="K46" s="122" t="s">
        <v>1175</v>
      </c>
      <c r="L46" s="161" t="s">
        <v>1176</v>
      </c>
      <c r="M46" s="194"/>
      <c r="N46" s="17"/>
      <c r="U46" s="134" t="s">
        <v>1020</v>
      </c>
      <c r="AG46"/>
      <c r="AH46"/>
      <c r="AI46"/>
      <c r="AJ46"/>
      <c r="AK46"/>
      <c r="AL46"/>
      <c r="AM46"/>
      <c r="AN46"/>
      <c r="AO46"/>
      <c r="AP46"/>
    </row>
    <row r="47" spans="1:42">
      <c r="A47" s="130" t="s">
        <v>126</v>
      </c>
      <c r="B47" s="218"/>
      <c r="C47" s="119" t="s">
        <v>1170</v>
      </c>
      <c r="D47" s="219"/>
      <c r="E47" s="217" t="s">
        <v>103</v>
      </c>
      <c r="F47" s="223" t="s">
        <v>104</v>
      </c>
      <c r="G47" s="223" t="s">
        <v>105</v>
      </c>
      <c r="H47" s="224" t="s">
        <v>73</v>
      </c>
      <c r="I47" s="220">
        <v>55378</v>
      </c>
      <c r="J47" s="221">
        <v>25060</v>
      </c>
      <c r="K47" s="225" t="s">
        <v>106</v>
      </c>
      <c r="L47" s="222" t="s">
        <v>107</v>
      </c>
      <c r="M47" s="194"/>
      <c r="N47" s="17"/>
      <c r="U47" s="134"/>
      <c r="AG47"/>
      <c r="AH47"/>
      <c r="AI47"/>
      <c r="AJ47"/>
      <c r="AK47"/>
      <c r="AL47"/>
      <c r="AM47"/>
      <c r="AN47"/>
      <c r="AO47"/>
      <c r="AP47"/>
    </row>
    <row r="48" spans="1:42" s="99" customFormat="1">
      <c r="A48" s="89" t="s">
        <v>147</v>
      </c>
      <c r="B48" s="207" t="s">
        <v>422</v>
      </c>
      <c r="C48" s="17" t="s">
        <v>418</v>
      </c>
      <c r="D48" s="90" t="s">
        <v>1177</v>
      </c>
      <c r="E48" s="78" t="s">
        <v>899</v>
      </c>
      <c r="F48" t="s">
        <v>1178</v>
      </c>
      <c r="G48" s="93" t="s">
        <v>1179</v>
      </c>
      <c r="H48" s="92" t="s">
        <v>73</v>
      </c>
      <c r="I48" s="92">
        <v>55379</v>
      </c>
      <c r="J48" s="137">
        <v>14373</v>
      </c>
      <c r="K48" s="16" t="s">
        <v>1180</v>
      </c>
      <c r="L48" s="133" t="s">
        <v>1181</v>
      </c>
      <c r="M48" s="191"/>
      <c r="U48" s="134" t="s">
        <v>186</v>
      </c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</row>
    <row r="49" spans="1:87" s="103" customFormat="1" ht="30.75" thickBot="1">
      <c r="A49" s="89" t="s">
        <v>147</v>
      </c>
      <c r="B49" s="207" t="s">
        <v>419</v>
      </c>
      <c r="C49" s="17" t="s">
        <v>418</v>
      </c>
      <c r="D49" s="90" t="s">
        <v>1182</v>
      </c>
      <c r="E49" s="78" t="s">
        <v>410</v>
      </c>
      <c r="F49" t="s">
        <v>412</v>
      </c>
      <c r="G49" s="93" t="s">
        <v>413</v>
      </c>
      <c r="H49" s="92" t="s">
        <v>259</v>
      </c>
      <c r="I49" s="92">
        <v>57006</v>
      </c>
      <c r="J49" s="137">
        <v>23007</v>
      </c>
      <c r="K49" s="16" t="s">
        <v>414</v>
      </c>
      <c r="L49" s="133" t="s">
        <v>415</v>
      </c>
      <c r="M49" s="191"/>
      <c r="N49" s="99"/>
      <c r="O49" s="99"/>
      <c r="P49" s="99"/>
      <c r="Q49" s="99"/>
      <c r="R49" s="99"/>
      <c r="S49" s="99"/>
      <c r="T49" s="99"/>
      <c r="U49" s="134" t="s">
        <v>137</v>
      </c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</row>
    <row r="50" spans="1:87" s="99" customFormat="1">
      <c r="A50" s="89" t="s">
        <v>147</v>
      </c>
      <c r="B50" s="207" t="s">
        <v>429</v>
      </c>
      <c r="C50" s="17" t="s">
        <v>418</v>
      </c>
      <c r="D50" s="90" t="s">
        <v>1183</v>
      </c>
      <c r="E50" s="78" t="s">
        <v>428</v>
      </c>
      <c r="F50" t="s">
        <v>430</v>
      </c>
      <c r="G50" s="93" t="s">
        <v>431</v>
      </c>
      <c r="H50" s="92" t="s">
        <v>73</v>
      </c>
      <c r="I50" s="92">
        <v>56518</v>
      </c>
      <c r="J50" s="137">
        <v>16506</v>
      </c>
      <c r="K50" s="16" t="s">
        <v>432</v>
      </c>
      <c r="L50" s="133" t="s">
        <v>433</v>
      </c>
      <c r="M50" s="191"/>
      <c r="U50" s="134" t="s">
        <v>134</v>
      </c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</row>
    <row r="51" spans="1:87" ht="30">
      <c r="A51" s="89" t="s">
        <v>147</v>
      </c>
      <c r="B51" s="207" t="s">
        <v>1184</v>
      </c>
      <c r="C51" s="17" t="s">
        <v>418</v>
      </c>
      <c r="D51" s="90" t="s">
        <v>1185</v>
      </c>
      <c r="E51" s="78" t="s">
        <v>891</v>
      </c>
      <c r="F51" s="152" t="s">
        <v>1186</v>
      </c>
      <c r="G51" s="93" t="s">
        <v>1187</v>
      </c>
      <c r="H51" s="92" t="s">
        <v>73</v>
      </c>
      <c r="I51" s="92">
        <v>55124</v>
      </c>
      <c r="J51" s="137">
        <v>16514</v>
      </c>
      <c r="K51" s="16" t="s">
        <v>449</v>
      </c>
      <c r="L51" s="133" t="s">
        <v>1188</v>
      </c>
      <c r="M51" s="191"/>
      <c r="U51" s="134" t="s">
        <v>134</v>
      </c>
      <c r="AF51" s="19"/>
      <c r="AP51"/>
    </row>
    <row r="52" spans="1:87" s="99" customFormat="1" ht="30">
      <c r="A52" s="89" t="s">
        <v>147</v>
      </c>
      <c r="B52" s="207" t="s">
        <v>1189</v>
      </c>
      <c r="C52" s="17" t="s">
        <v>418</v>
      </c>
      <c r="D52" s="90" t="s">
        <v>1190</v>
      </c>
      <c r="E52" s="78" t="s">
        <v>914</v>
      </c>
      <c r="F52" t="s">
        <v>1191</v>
      </c>
      <c r="G52" s="93" t="s">
        <v>454</v>
      </c>
      <c r="H52" s="92" t="s">
        <v>73</v>
      </c>
      <c r="I52" s="92">
        <v>56501</v>
      </c>
      <c r="J52" s="137">
        <v>18018</v>
      </c>
      <c r="K52" s="16" t="s">
        <v>1192</v>
      </c>
      <c r="L52" s="133" t="s">
        <v>1193</v>
      </c>
      <c r="M52" s="191"/>
      <c r="U52" s="155" t="s">
        <v>186</v>
      </c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</row>
    <row r="53" spans="1:87" ht="30">
      <c r="A53" s="89" t="s">
        <v>147</v>
      </c>
      <c r="B53" s="207" t="s">
        <v>1194</v>
      </c>
      <c r="C53" s="17" t="s">
        <v>418</v>
      </c>
      <c r="D53" s="90" t="s">
        <v>1195</v>
      </c>
      <c r="E53" s="78" t="s">
        <v>917</v>
      </c>
      <c r="F53" s="134" t="s">
        <v>1196</v>
      </c>
      <c r="G53" s="101" t="s">
        <v>1197</v>
      </c>
      <c r="H53" s="102" t="s">
        <v>73</v>
      </c>
      <c r="I53" s="102">
        <v>55812</v>
      </c>
      <c r="J53" s="137">
        <v>25081</v>
      </c>
      <c r="K53" s="16" t="s">
        <v>1198</v>
      </c>
      <c r="L53" s="133" t="s">
        <v>1199</v>
      </c>
      <c r="M53" s="191"/>
      <c r="U53" s="134"/>
      <c r="AF53" s="19"/>
      <c r="AP53"/>
    </row>
    <row r="54" spans="1:87" s="99" customFormat="1" ht="30">
      <c r="A54" s="89" t="s">
        <v>147</v>
      </c>
      <c r="B54" s="207" t="s">
        <v>1200</v>
      </c>
      <c r="C54" s="17" t="s">
        <v>418</v>
      </c>
      <c r="D54" s="96" t="s">
        <v>1201</v>
      </c>
      <c r="E54" s="78" t="s">
        <v>882</v>
      </c>
      <c r="F54" t="s">
        <v>1202</v>
      </c>
      <c r="G54" s="91" t="s">
        <v>105</v>
      </c>
      <c r="H54" s="92" t="s">
        <v>73</v>
      </c>
      <c r="I54" s="92">
        <v>55378</v>
      </c>
      <c r="J54" s="137">
        <v>14355</v>
      </c>
      <c r="K54" s="16" t="s">
        <v>1203</v>
      </c>
      <c r="L54" s="133" t="s">
        <v>1204</v>
      </c>
      <c r="M54" s="191"/>
      <c r="U54" s="155" t="s">
        <v>1020</v>
      </c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</row>
    <row r="55" spans="1:87" s="99" customFormat="1">
      <c r="A55" s="132" t="s">
        <v>1205</v>
      </c>
      <c r="B55" s="209"/>
      <c r="C55" s="17" t="s">
        <v>418</v>
      </c>
      <c r="D55" s="96" t="s">
        <v>1206</v>
      </c>
      <c r="E55" s="78" t="s">
        <v>423</v>
      </c>
      <c r="F55" t="s">
        <v>457</v>
      </c>
      <c r="G55" s="93" t="s">
        <v>458</v>
      </c>
      <c r="H55" s="17" t="s">
        <v>73</v>
      </c>
      <c r="I55" s="92">
        <v>55303</v>
      </c>
      <c r="J55" s="137">
        <v>14379</v>
      </c>
      <c r="K55" t="s">
        <v>459</v>
      </c>
      <c r="L55" s="133" t="s">
        <v>460</v>
      </c>
      <c r="M55" s="191"/>
      <c r="U55" s="134" t="s">
        <v>186</v>
      </c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</row>
    <row r="56" spans="1:87" s="86" customFormat="1" ht="16.5" thickBot="1">
      <c r="A56" s="128" t="s">
        <v>90</v>
      </c>
      <c r="B56" s="206"/>
      <c r="C56" s="110"/>
      <c r="D56" s="118" t="s">
        <v>929</v>
      </c>
      <c r="E56" s="111" t="s">
        <v>930</v>
      </c>
      <c r="F56" s="112" t="s">
        <v>931</v>
      </c>
      <c r="G56" s="113" t="s">
        <v>17</v>
      </c>
      <c r="H56" s="110" t="s">
        <v>18</v>
      </c>
      <c r="I56" s="110">
        <v>54455</v>
      </c>
      <c r="J56" s="136">
        <v>14334</v>
      </c>
      <c r="K56" s="114" t="s">
        <v>932</v>
      </c>
      <c r="L56" s="162" t="s">
        <v>933</v>
      </c>
      <c r="M56" s="190"/>
      <c r="N56" s="87"/>
      <c r="O56" s="87"/>
      <c r="P56" s="164"/>
      <c r="Q56" s="164"/>
      <c r="R56" s="164"/>
      <c r="S56" s="87"/>
      <c r="T56" s="87"/>
      <c r="U56" s="153" t="s">
        <v>934</v>
      </c>
      <c r="V56" s="87"/>
      <c r="W56" s="87"/>
      <c r="X56" s="87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</row>
    <row r="57" spans="1:87" s="99" customFormat="1">
      <c r="A57" s="130" t="s">
        <v>126</v>
      </c>
      <c r="B57" s="212"/>
      <c r="C57" s="119" t="s">
        <v>1207</v>
      </c>
      <c r="D57" s="125" t="s">
        <v>1208</v>
      </c>
      <c r="E57" s="121" t="s">
        <v>1209</v>
      </c>
      <c r="F57" t="s">
        <v>1210</v>
      </c>
      <c r="G57" s="126" t="s">
        <v>258</v>
      </c>
      <c r="H57" s="123" t="s">
        <v>259</v>
      </c>
      <c r="I57" s="123">
        <v>57702</v>
      </c>
      <c r="J57" s="139">
        <v>14351</v>
      </c>
      <c r="K57" s="124" t="s">
        <v>1211</v>
      </c>
      <c r="L57" s="143" t="s">
        <v>1212</v>
      </c>
      <c r="M57" s="204" t="s">
        <v>1213</v>
      </c>
      <c r="N57" s="156" t="s">
        <v>1214</v>
      </c>
      <c r="O57" s="157"/>
      <c r="P57" s="158"/>
      <c r="Q57" s="158"/>
      <c r="R57" s="158"/>
      <c r="U57" s="134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</row>
    <row r="58" spans="1:87" s="99" customFormat="1" ht="30">
      <c r="A58" s="89" t="s">
        <v>147</v>
      </c>
      <c r="B58" s="207" t="s">
        <v>1215</v>
      </c>
      <c r="C58" s="17" t="s">
        <v>1216</v>
      </c>
      <c r="D58" s="90" t="s">
        <v>1217</v>
      </c>
      <c r="E58" s="78" t="s">
        <v>233</v>
      </c>
      <c r="F58" t="s">
        <v>1218</v>
      </c>
      <c r="G58" s="93" t="s">
        <v>237</v>
      </c>
      <c r="H58" s="92" t="s">
        <v>50</v>
      </c>
      <c r="I58" s="92">
        <v>69361</v>
      </c>
      <c r="J58" s="137">
        <v>14341</v>
      </c>
      <c r="K58" s="16" t="s">
        <v>238</v>
      </c>
      <c r="L58" s="133" t="s">
        <v>239</v>
      </c>
      <c r="M58" s="191"/>
      <c r="U58" s="134" t="s">
        <v>134</v>
      </c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</row>
    <row r="59" spans="1:87" s="99" customFormat="1">
      <c r="A59" s="89" t="s">
        <v>147</v>
      </c>
      <c r="B59" s="207" t="s">
        <v>249</v>
      </c>
      <c r="C59" s="17" t="s">
        <v>1216</v>
      </c>
      <c r="D59" s="90" t="s">
        <v>1219</v>
      </c>
      <c r="E59" s="78" t="s">
        <v>890</v>
      </c>
      <c r="F59" s="134" t="s">
        <v>1220</v>
      </c>
      <c r="G59" s="93" t="s">
        <v>1221</v>
      </c>
      <c r="H59" s="92" t="s">
        <v>245</v>
      </c>
      <c r="I59" s="92">
        <v>80917</v>
      </c>
      <c r="J59" s="137">
        <v>14352</v>
      </c>
      <c r="K59" s="16" t="s">
        <v>1222</v>
      </c>
      <c r="L59" s="133" t="s">
        <v>1223</v>
      </c>
      <c r="M59" s="191"/>
      <c r="U59" s="134" t="s">
        <v>1020</v>
      </c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</row>
    <row r="60" spans="1:87" ht="30">
      <c r="A60" s="89" t="s">
        <v>147</v>
      </c>
      <c r="B60" s="207" t="s">
        <v>1224</v>
      </c>
      <c r="C60" s="17" t="s">
        <v>1216</v>
      </c>
      <c r="D60" s="90" t="s">
        <v>1225</v>
      </c>
      <c r="E60" s="78" t="s">
        <v>1226</v>
      </c>
      <c r="F60" t="s">
        <v>1227</v>
      </c>
      <c r="G60" s="93" t="s">
        <v>258</v>
      </c>
      <c r="H60" s="17" t="s">
        <v>259</v>
      </c>
      <c r="I60" s="17">
        <v>57703</v>
      </c>
      <c r="J60" s="137">
        <v>14356</v>
      </c>
      <c r="K60" s="16" t="s">
        <v>1228</v>
      </c>
      <c r="L60" s="133" t="s">
        <v>1229</v>
      </c>
      <c r="M60" s="191"/>
      <c r="N60" s="17"/>
      <c r="U60" s="134" t="s">
        <v>186</v>
      </c>
      <c r="AG60"/>
      <c r="AH60"/>
      <c r="AI60"/>
      <c r="AJ60"/>
      <c r="AK60"/>
      <c r="AL60"/>
      <c r="AM60"/>
      <c r="AN60"/>
      <c r="AO60"/>
      <c r="AP60"/>
    </row>
    <row r="61" spans="1:87">
      <c r="A61" s="89" t="s">
        <v>147</v>
      </c>
      <c r="B61" s="207" t="s">
        <v>227</v>
      </c>
      <c r="C61" s="17" t="s">
        <v>1216</v>
      </c>
      <c r="D61" s="90" t="s">
        <v>1230</v>
      </c>
      <c r="E61" s="78" t="s">
        <v>909</v>
      </c>
      <c r="F61" t="s">
        <v>1231</v>
      </c>
      <c r="G61" s="93" t="s">
        <v>1232</v>
      </c>
      <c r="H61" s="17" t="s">
        <v>230</v>
      </c>
      <c r="I61" s="17">
        <v>58501</v>
      </c>
      <c r="J61" s="137">
        <v>25056</v>
      </c>
      <c r="K61" s="16" t="s">
        <v>1233</v>
      </c>
      <c r="L61" s="133" t="s">
        <v>1234</v>
      </c>
      <c r="M61" s="191"/>
      <c r="U61" s="134" t="s">
        <v>137</v>
      </c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G61"/>
      <c r="AH61"/>
      <c r="AI61"/>
      <c r="AJ61"/>
      <c r="AK61"/>
      <c r="AL61"/>
      <c r="AM61"/>
      <c r="AN61"/>
      <c r="AO61"/>
      <c r="AP61"/>
    </row>
    <row r="62" spans="1:87">
      <c r="A62" s="89" t="s">
        <v>147</v>
      </c>
      <c r="B62" s="207" t="s">
        <v>241</v>
      </c>
      <c r="C62" s="17" t="s">
        <v>1216</v>
      </c>
      <c r="D62" s="90" t="s">
        <v>1235</v>
      </c>
      <c r="E62" s="78" t="s">
        <v>1236</v>
      </c>
      <c r="F62" t="s">
        <v>1237</v>
      </c>
      <c r="G62" s="93" t="s">
        <v>1238</v>
      </c>
      <c r="H62" s="92" t="s">
        <v>245</v>
      </c>
      <c r="I62" s="92">
        <v>80516</v>
      </c>
      <c r="J62" s="137">
        <v>25059</v>
      </c>
      <c r="K62" s="16" t="s">
        <v>1239</v>
      </c>
      <c r="L62" s="133" t="s">
        <v>1240</v>
      </c>
      <c r="M62" s="191"/>
      <c r="N62" t="s">
        <v>1241</v>
      </c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G62"/>
      <c r="AH62"/>
      <c r="AI62"/>
      <c r="AJ62"/>
      <c r="AK62"/>
      <c r="AL62"/>
      <c r="AM62"/>
      <c r="AN62"/>
      <c r="AO62"/>
      <c r="AP62"/>
    </row>
    <row r="63" spans="1:87" ht="16.5" thickBot="1">
      <c r="A63" s="128" t="s">
        <v>948</v>
      </c>
      <c r="B63" s="206"/>
      <c r="C63" s="110"/>
      <c r="D63" s="118" t="s">
        <v>949</v>
      </c>
      <c r="E63" s="111" t="s">
        <v>950</v>
      </c>
      <c r="F63" s="112" t="s">
        <v>951</v>
      </c>
      <c r="G63" s="113" t="s">
        <v>952</v>
      </c>
      <c r="H63" s="110" t="s">
        <v>18</v>
      </c>
      <c r="I63" s="110">
        <v>54745</v>
      </c>
      <c r="J63" s="136">
        <v>15275</v>
      </c>
      <c r="K63" s="114" t="s">
        <v>953</v>
      </c>
      <c r="L63" s="162" t="s">
        <v>954</v>
      </c>
      <c r="M63" s="190"/>
      <c r="N63" s="190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G63"/>
      <c r="AH63"/>
      <c r="AI63"/>
      <c r="AJ63"/>
      <c r="AK63"/>
      <c r="AL63"/>
      <c r="AM63"/>
      <c r="AN63"/>
      <c r="AO63"/>
      <c r="AP63"/>
    </row>
    <row r="64" spans="1:87">
      <c r="A64" s="130" t="s">
        <v>126</v>
      </c>
      <c r="B64" s="212"/>
      <c r="C64" s="119" t="s">
        <v>1242</v>
      </c>
      <c r="D64" s="125" t="s">
        <v>1243</v>
      </c>
      <c r="E64" s="121" t="s">
        <v>221</v>
      </c>
      <c r="F64" s="145" t="s">
        <v>1244</v>
      </c>
      <c r="G64" s="126" t="s">
        <v>211</v>
      </c>
      <c r="H64" s="123" t="s">
        <v>212</v>
      </c>
      <c r="I64" s="123">
        <v>59079</v>
      </c>
      <c r="J64" s="139">
        <v>14354</v>
      </c>
      <c r="K64" s="124" t="s">
        <v>271</v>
      </c>
      <c r="L64" s="143" t="s">
        <v>272</v>
      </c>
      <c r="M64" s="193"/>
      <c r="N64" s="193"/>
      <c r="U64" s="134" t="s">
        <v>186</v>
      </c>
      <c r="AF64" s="19"/>
      <c r="AP64"/>
    </row>
    <row r="65" spans="1:42" s="99" customFormat="1">
      <c r="A65" s="89" t="s">
        <v>147</v>
      </c>
      <c r="B65" s="207" t="s">
        <v>1245</v>
      </c>
      <c r="C65" s="17" t="s">
        <v>217</v>
      </c>
      <c r="D65" s="90"/>
      <c r="E65" s="78" t="s">
        <v>1246</v>
      </c>
      <c r="F65"/>
      <c r="G65"/>
      <c r="H65" s="17"/>
      <c r="I65" s="92"/>
      <c r="J65" s="137"/>
      <c r="K65" s="16"/>
      <c r="L65" s="133"/>
      <c r="M65" s="191"/>
      <c r="U65" s="134" t="s">
        <v>186</v>
      </c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</row>
    <row r="66" spans="1:42" ht="30">
      <c r="A66" s="89" t="s">
        <v>1247</v>
      </c>
      <c r="B66" s="207" t="s">
        <v>1248</v>
      </c>
      <c r="C66" s="17" t="s">
        <v>217</v>
      </c>
      <c r="D66" s="90" t="s">
        <v>1249</v>
      </c>
      <c r="E66" s="78" t="s">
        <v>208</v>
      </c>
      <c r="F66" t="s">
        <v>210</v>
      </c>
      <c r="G66" s="93" t="s">
        <v>211</v>
      </c>
      <c r="H66" s="92" t="s">
        <v>212</v>
      </c>
      <c r="I66" s="92">
        <v>59079</v>
      </c>
      <c r="J66" s="137">
        <v>25076</v>
      </c>
      <c r="K66" s="16"/>
      <c r="L66" s="133" t="s">
        <v>214</v>
      </c>
      <c r="M66" s="191"/>
      <c r="U66" s="134" t="s">
        <v>134</v>
      </c>
      <c r="W66" s="152"/>
      <c r="AF66" s="19"/>
      <c r="AP66"/>
    </row>
    <row r="67" spans="1:42">
      <c r="A67" s="89" t="s">
        <v>147</v>
      </c>
      <c r="B67" s="207" t="s">
        <v>507</v>
      </c>
      <c r="C67" s="17" t="s">
        <v>217</v>
      </c>
      <c r="D67" s="90" t="s">
        <v>1250</v>
      </c>
      <c r="E67" s="78" t="s">
        <v>885</v>
      </c>
      <c r="F67" t="s">
        <v>1251</v>
      </c>
      <c r="G67" s="93" t="s">
        <v>1252</v>
      </c>
      <c r="H67" s="92" t="s">
        <v>212</v>
      </c>
      <c r="I67" s="92">
        <v>59601</v>
      </c>
      <c r="J67" s="137">
        <v>25066</v>
      </c>
      <c r="K67" s="16" t="s">
        <v>1253</v>
      </c>
      <c r="L67" s="133" t="s">
        <v>1254</v>
      </c>
      <c r="M67" s="191"/>
      <c r="N67" t="s">
        <v>1069</v>
      </c>
      <c r="U67" t="s">
        <v>186</v>
      </c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G67"/>
      <c r="AH67"/>
      <c r="AI67"/>
      <c r="AJ67"/>
      <c r="AK67"/>
      <c r="AL67"/>
      <c r="AM67"/>
      <c r="AN67"/>
      <c r="AO67"/>
      <c r="AP67"/>
    </row>
    <row r="68" spans="1:42">
      <c r="A68" s="89" t="s">
        <v>147</v>
      </c>
      <c r="B68" s="207" t="s">
        <v>1255</v>
      </c>
      <c r="C68" s="17" t="s">
        <v>217</v>
      </c>
      <c r="D68" s="90" t="s">
        <v>1256</v>
      </c>
      <c r="E68" s="78" t="s">
        <v>876</v>
      </c>
      <c r="F68" t="s">
        <v>1257</v>
      </c>
      <c r="G68" s="93" t="s">
        <v>1258</v>
      </c>
      <c r="H68" s="92" t="s">
        <v>212</v>
      </c>
      <c r="I68" s="92">
        <v>59718</v>
      </c>
      <c r="J68" s="137">
        <v>25082</v>
      </c>
      <c r="K68" s="16" t="s">
        <v>1259</v>
      </c>
      <c r="L68" s="133" t="s">
        <v>1260</v>
      </c>
      <c r="M68" s="191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G68"/>
      <c r="AH68"/>
      <c r="AI68"/>
      <c r="AJ68"/>
      <c r="AK68"/>
      <c r="AL68"/>
      <c r="AM68"/>
      <c r="AN68"/>
      <c r="AO68"/>
      <c r="AP68"/>
    </row>
    <row r="69" spans="1:42">
      <c r="A69" s="196" t="s">
        <v>1164</v>
      </c>
      <c r="B69" s="207" t="s">
        <v>1261</v>
      </c>
      <c r="C69" s="17" t="s">
        <v>217</v>
      </c>
      <c r="D69" s="90" t="s">
        <v>1262</v>
      </c>
      <c r="E69" s="78" t="s">
        <v>1246</v>
      </c>
      <c r="G69" s="93"/>
      <c r="H69" s="92"/>
      <c r="I69" s="92"/>
      <c r="J69" s="137"/>
      <c r="K69" s="16"/>
      <c r="L69" s="133"/>
      <c r="M69" s="191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G69"/>
      <c r="AH69"/>
      <c r="AI69"/>
      <c r="AJ69"/>
      <c r="AK69"/>
      <c r="AL69"/>
      <c r="AM69"/>
      <c r="AN69"/>
      <c r="AO69"/>
      <c r="AP69"/>
    </row>
    <row r="70" spans="1:42">
      <c r="A70" s="130" t="s">
        <v>126</v>
      </c>
      <c r="B70" s="212"/>
      <c r="C70" s="119" t="s">
        <v>1263</v>
      </c>
      <c r="D70" s="125" t="s">
        <v>1264</v>
      </c>
      <c r="E70" s="121" t="s">
        <v>120</v>
      </c>
      <c r="F70" s="145" t="s">
        <v>1265</v>
      </c>
      <c r="G70" s="145" t="s">
        <v>481</v>
      </c>
      <c r="H70" s="146" t="s">
        <v>123</v>
      </c>
      <c r="I70" s="123">
        <v>83854</v>
      </c>
      <c r="J70" s="139">
        <v>25058</v>
      </c>
      <c r="K70" s="144" t="s">
        <v>124</v>
      </c>
      <c r="L70" s="143" t="s">
        <v>125</v>
      </c>
      <c r="M70" s="193"/>
      <c r="N70" t="s">
        <v>1069</v>
      </c>
      <c r="U70" t="s">
        <v>186</v>
      </c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G70"/>
      <c r="AH70"/>
      <c r="AI70"/>
      <c r="AJ70"/>
      <c r="AK70"/>
      <c r="AL70"/>
      <c r="AM70"/>
      <c r="AN70"/>
      <c r="AO70"/>
      <c r="AP70"/>
    </row>
    <row r="71" spans="1:42" ht="30">
      <c r="A71" s="89" t="s">
        <v>147</v>
      </c>
      <c r="B71" s="207" t="s">
        <v>1266</v>
      </c>
      <c r="C71" s="17" t="s">
        <v>477</v>
      </c>
      <c r="D71" s="90" t="s">
        <v>1267</v>
      </c>
      <c r="E71" s="78" t="s">
        <v>868</v>
      </c>
      <c r="F71" s="152" t="s">
        <v>1268</v>
      </c>
      <c r="G71" t="s">
        <v>1269</v>
      </c>
      <c r="H71" s="17" t="s">
        <v>525</v>
      </c>
      <c r="I71" s="92">
        <v>99114</v>
      </c>
      <c r="J71" s="137">
        <v>25084</v>
      </c>
      <c r="K71" s="16" t="s">
        <v>1270</v>
      </c>
      <c r="L71" s="133" t="s">
        <v>1271</v>
      </c>
      <c r="M71" s="191"/>
      <c r="U71" s="134" t="s">
        <v>186</v>
      </c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G71"/>
      <c r="AH71"/>
      <c r="AI71"/>
      <c r="AJ71"/>
      <c r="AK71"/>
      <c r="AL71"/>
      <c r="AM71"/>
      <c r="AN71"/>
      <c r="AO71"/>
      <c r="AP71"/>
    </row>
    <row r="72" spans="1:42">
      <c r="A72" s="89" t="s">
        <v>147</v>
      </c>
      <c r="B72" s="207" t="s">
        <v>1272</v>
      </c>
      <c r="C72" s="17" t="s">
        <v>477</v>
      </c>
      <c r="D72" s="90" t="s">
        <v>1273</v>
      </c>
      <c r="E72" s="78" t="s">
        <v>877</v>
      </c>
      <c r="F72" t="s">
        <v>1274</v>
      </c>
      <c r="G72" t="s">
        <v>1275</v>
      </c>
      <c r="H72" s="17" t="s">
        <v>525</v>
      </c>
      <c r="I72" s="17">
        <v>99353</v>
      </c>
      <c r="J72" s="137">
        <v>17941</v>
      </c>
      <c r="K72" s="16" t="s">
        <v>1276</v>
      </c>
      <c r="L72" s="133" t="s">
        <v>1277</v>
      </c>
      <c r="M72" s="191"/>
      <c r="U72" s="134" t="s">
        <v>134</v>
      </c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G72"/>
      <c r="AH72"/>
      <c r="AI72"/>
      <c r="AJ72"/>
      <c r="AK72"/>
      <c r="AL72"/>
      <c r="AM72"/>
      <c r="AN72"/>
      <c r="AO72"/>
      <c r="AP72"/>
    </row>
    <row r="73" spans="1:42">
      <c r="A73" s="89" t="s">
        <v>147</v>
      </c>
      <c r="B73" s="207" t="s">
        <v>1278</v>
      </c>
      <c r="C73" s="17" t="s">
        <v>477</v>
      </c>
      <c r="D73" s="90" t="s">
        <v>1279</v>
      </c>
      <c r="E73" s="78" t="s">
        <v>886</v>
      </c>
      <c r="F73" t="s">
        <v>1280</v>
      </c>
      <c r="G73" s="93" t="s">
        <v>1281</v>
      </c>
      <c r="H73" s="17" t="s">
        <v>525</v>
      </c>
      <c r="I73" s="17">
        <v>98660</v>
      </c>
      <c r="J73" s="137">
        <v>25073</v>
      </c>
      <c r="K73" s="16" t="s">
        <v>1282</v>
      </c>
      <c r="L73" s="133" t="s">
        <v>1283</v>
      </c>
      <c r="M73" s="191"/>
      <c r="U73" s="134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G73"/>
      <c r="AH73"/>
      <c r="AI73"/>
      <c r="AJ73"/>
      <c r="AK73"/>
      <c r="AL73"/>
      <c r="AM73"/>
      <c r="AN73"/>
      <c r="AO73"/>
      <c r="AP73"/>
    </row>
    <row r="74" spans="1:42">
      <c r="A74" s="196" t="s">
        <v>1164</v>
      </c>
      <c r="B74" s="214" t="s">
        <v>1284</v>
      </c>
      <c r="C74" s="197" t="s">
        <v>477</v>
      </c>
      <c r="D74" s="198" t="s">
        <v>1285</v>
      </c>
      <c r="E74" s="199" t="s">
        <v>479</v>
      </c>
      <c r="F74" s="151" t="s">
        <v>1286</v>
      </c>
      <c r="G74" s="151" t="s">
        <v>1287</v>
      </c>
      <c r="H74" s="197" t="s">
        <v>525</v>
      </c>
      <c r="I74" s="197">
        <v>99003</v>
      </c>
      <c r="J74" s="200">
        <v>13507</v>
      </c>
      <c r="K74" s="67" t="s">
        <v>526</v>
      </c>
      <c r="L74" s="201" t="s">
        <v>527</v>
      </c>
      <c r="M74" s="191"/>
      <c r="U74" t="s">
        <v>186</v>
      </c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G74"/>
      <c r="AH74"/>
      <c r="AI74"/>
      <c r="AJ74"/>
      <c r="AK74"/>
      <c r="AL74"/>
      <c r="AM74"/>
      <c r="AN74"/>
      <c r="AO74"/>
      <c r="AP74"/>
    </row>
    <row r="75" spans="1:42">
      <c r="A75"/>
      <c r="B75" s="215"/>
      <c r="C75" s="17"/>
      <c r="D75" s="90"/>
      <c r="H75" s="17"/>
      <c r="I75" s="92"/>
      <c r="J75" s="137"/>
      <c r="K75" s="16"/>
      <c r="M75" s="191"/>
      <c r="U75" s="134" t="s">
        <v>137</v>
      </c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G75"/>
      <c r="AH75"/>
      <c r="AI75"/>
      <c r="AJ75"/>
      <c r="AK75"/>
      <c r="AL75"/>
      <c r="AM75"/>
      <c r="AN75"/>
      <c r="AO75"/>
      <c r="AP75"/>
    </row>
    <row r="76" spans="1:42"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/>
      <c r="AH76"/>
      <c r="AI76"/>
      <c r="AJ76"/>
      <c r="AK76"/>
      <c r="AL76"/>
      <c r="AM76"/>
      <c r="AN76"/>
      <c r="AO76"/>
      <c r="AP76"/>
    </row>
    <row r="77" spans="1:42"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/>
      <c r="AH77"/>
      <c r="AI77"/>
      <c r="AJ77"/>
      <c r="AK77"/>
      <c r="AL77"/>
      <c r="AM77"/>
      <c r="AN77"/>
      <c r="AO77"/>
      <c r="AP77"/>
    </row>
    <row r="78" spans="1:42"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/>
      <c r="AH78"/>
      <c r="AI78"/>
      <c r="AJ78"/>
      <c r="AK78"/>
      <c r="AL78"/>
      <c r="AM78"/>
      <c r="AN78"/>
      <c r="AO78"/>
      <c r="AP78"/>
    </row>
    <row r="79" spans="1:42"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/>
      <c r="AH79"/>
      <c r="AI79"/>
      <c r="AJ79"/>
      <c r="AK79"/>
      <c r="AL79"/>
      <c r="AM79"/>
      <c r="AN79"/>
      <c r="AO79"/>
      <c r="AP79"/>
    </row>
    <row r="80" spans="1:42"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/>
      <c r="AH80"/>
      <c r="AI80"/>
      <c r="AJ80"/>
      <c r="AK80"/>
      <c r="AL80"/>
      <c r="AM80"/>
      <c r="AN80"/>
      <c r="AO80"/>
      <c r="AP80"/>
    </row>
    <row r="81" spans="23:42"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/>
      <c r="AH81"/>
      <c r="AI81"/>
      <c r="AJ81"/>
      <c r="AK81"/>
      <c r="AL81"/>
      <c r="AM81"/>
      <c r="AN81"/>
      <c r="AO81"/>
      <c r="AP81"/>
    </row>
    <row r="82" spans="23:42"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/>
      <c r="AH82"/>
      <c r="AI82"/>
      <c r="AJ82"/>
      <c r="AK82"/>
      <c r="AL82"/>
      <c r="AM82"/>
      <c r="AN82"/>
      <c r="AO82"/>
      <c r="AP82"/>
    </row>
    <row r="83" spans="23:42"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/>
      <c r="AH83"/>
      <c r="AI83"/>
      <c r="AJ83"/>
      <c r="AK83"/>
      <c r="AL83"/>
      <c r="AM83"/>
      <c r="AN83"/>
      <c r="AO83"/>
      <c r="AP83"/>
    </row>
    <row r="84" spans="23:42"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/>
      <c r="AH84"/>
      <c r="AI84"/>
      <c r="AJ84"/>
      <c r="AK84"/>
      <c r="AL84"/>
      <c r="AM84"/>
      <c r="AN84"/>
      <c r="AO84"/>
      <c r="AP84"/>
    </row>
    <row r="85" spans="23:42"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/>
      <c r="AH85"/>
      <c r="AI85"/>
      <c r="AJ85"/>
      <c r="AK85"/>
      <c r="AL85"/>
      <c r="AM85"/>
      <c r="AN85"/>
      <c r="AO85"/>
      <c r="AP85"/>
    </row>
    <row r="86" spans="23:42"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/>
      <c r="AH86"/>
      <c r="AI86"/>
      <c r="AJ86"/>
      <c r="AK86"/>
      <c r="AL86"/>
      <c r="AM86"/>
      <c r="AN86"/>
      <c r="AO86"/>
      <c r="AP86"/>
    </row>
    <row r="87" spans="23:42"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/>
      <c r="AH87"/>
      <c r="AI87"/>
      <c r="AJ87"/>
      <c r="AK87"/>
      <c r="AL87"/>
      <c r="AM87"/>
      <c r="AN87"/>
      <c r="AO87"/>
      <c r="AP87"/>
    </row>
    <row r="88" spans="23:42"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/>
      <c r="AH88"/>
      <c r="AI88"/>
      <c r="AJ88"/>
      <c r="AK88"/>
      <c r="AL88"/>
      <c r="AM88"/>
      <c r="AN88"/>
      <c r="AO88"/>
      <c r="AP88"/>
    </row>
    <row r="89" spans="23:42"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/>
      <c r="AH89"/>
      <c r="AI89"/>
      <c r="AJ89"/>
      <c r="AK89"/>
      <c r="AL89"/>
      <c r="AM89"/>
      <c r="AN89"/>
      <c r="AO89"/>
      <c r="AP89"/>
    </row>
    <row r="90" spans="23:42"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/>
      <c r="AH90"/>
      <c r="AI90"/>
      <c r="AJ90"/>
      <c r="AK90"/>
      <c r="AL90"/>
      <c r="AM90"/>
      <c r="AN90"/>
      <c r="AO90"/>
      <c r="AP90"/>
    </row>
    <row r="91" spans="23:42"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/>
      <c r="AH91"/>
      <c r="AI91"/>
      <c r="AJ91"/>
      <c r="AK91"/>
      <c r="AL91"/>
      <c r="AM91"/>
      <c r="AN91"/>
      <c r="AO91"/>
      <c r="AP91"/>
    </row>
    <row r="92" spans="23:42"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/>
      <c r="AH92"/>
      <c r="AI92"/>
      <c r="AJ92"/>
      <c r="AK92"/>
      <c r="AL92"/>
      <c r="AM92"/>
      <c r="AN92"/>
      <c r="AO92"/>
      <c r="AP92"/>
    </row>
    <row r="93" spans="23:42"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/>
      <c r="AH93"/>
      <c r="AI93"/>
      <c r="AJ93"/>
      <c r="AK93"/>
      <c r="AL93"/>
      <c r="AM93"/>
      <c r="AN93"/>
      <c r="AO93"/>
      <c r="AP93"/>
    </row>
    <row r="94" spans="23:42"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/>
      <c r="AH94"/>
      <c r="AI94"/>
      <c r="AJ94"/>
      <c r="AK94"/>
      <c r="AL94"/>
      <c r="AM94"/>
      <c r="AN94"/>
      <c r="AO94"/>
      <c r="AP94"/>
    </row>
    <row r="95" spans="23:42"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/>
      <c r="AH95"/>
      <c r="AI95"/>
      <c r="AJ95"/>
      <c r="AK95"/>
      <c r="AL95"/>
      <c r="AM95"/>
      <c r="AN95"/>
      <c r="AO95"/>
      <c r="AP95"/>
    </row>
    <row r="96" spans="23:42"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/>
      <c r="AH96"/>
      <c r="AI96"/>
      <c r="AJ96"/>
      <c r="AK96"/>
      <c r="AL96"/>
      <c r="AM96"/>
      <c r="AN96"/>
      <c r="AO96"/>
      <c r="AP96"/>
    </row>
    <row r="97" spans="23:42"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/>
      <c r="AH97"/>
      <c r="AI97"/>
      <c r="AJ97"/>
      <c r="AK97"/>
      <c r="AL97"/>
      <c r="AM97"/>
      <c r="AN97"/>
      <c r="AO97"/>
      <c r="AP97"/>
    </row>
    <row r="98" spans="23:42"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/>
      <c r="AH98"/>
      <c r="AI98"/>
      <c r="AJ98"/>
      <c r="AK98"/>
      <c r="AL98"/>
      <c r="AM98"/>
      <c r="AN98"/>
      <c r="AO98"/>
      <c r="AP98"/>
    </row>
    <row r="99" spans="23:42"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/>
      <c r="AH99"/>
      <c r="AI99"/>
      <c r="AJ99"/>
      <c r="AK99"/>
      <c r="AL99"/>
      <c r="AM99"/>
      <c r="AN99"/>
      <c r="AO99"/>
      <c r="AP99"/>
    </row>
    <row r="100" spans="23:42"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/>
      <c r="AH100"/>
      <c r="AI100"/>
      <c r="AJ100"/>
      <c r="AK100"/>
      <c r="AL100"/>
      <c r="AM100"/>
      <c r="AN100"/>
      <c r="AO100"/>
      <c r="AP100"/>
    </row>
    <row r="101" spans="23:42"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/>
      <c r="AH101"/>
      <c r="AI101"/>
      <c r="AJ101"/>
      <c r="AK101"/>
      <c r="AL101"/>
      <c r="AM101"/>
      <c r="AN101"/>
      <c r="AO101"/>
      <c r="AP101"/>
    </row>
    <row r="102" spans="23:42"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/>
      <c r="AH102"/>
      <c r="AI102"/>
      <c r="AJ102"/>
      <c r="AK102"/>
      <c r="AL102"/>
      <c r="AM102"/>
      <c r="AN102"/>
      <c r="AO102"/>
      <c r="AP102"/>
    </row>
    <row r="103" spans="23:42"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/>
      <c r="AH103"/>
      <c r="AI103"/>
      <c r="AJ103"/>
      <c r="AK103"/>
      <c r="AL103"/>
      <c r="AM103"/>
      <c r="AN103"/>
      <c r="AO103"/>
      <c r="AP103"/>
    </row>
    <row r="104" spans="23:42"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/>
      <c r="AH104"/>
      <c r="AI104"/>
      <c r="AJ104"/>
      <c r="AK104"/>
      <c r="AL104"/>
      <c r="AM104"/>
      <c r="AN104"/>
      <c r="AO104"/>
      <c r="AP104"/>
    </row>
    <row r="105" spans="23:42"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/>
      <c r="AH105"/>
      <c r="AI105"/>
      <c r="AJ105"/>
      <c r="AK105"/>
      <c r="AL105"/>
      <c r="AM105"/>
      <c r="AN105"/>
      <c r="AO105"/>
      <c r="AP105"/>
    </row>
    <row r="106" spans="23:42"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/>
      <c r="AH106"/>
      <c r="AI106"/>
      <c r="AJ106"/>
      <c r="AK106"/>
      <c r="AL106"/>
      <c r="AM106"/>
      <c r="AN106"/>
      <c r="AO106"/>
      <c r="AP106"/>
    </row>
    <row r="107" spans="23:42"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/>
      <c r="AH107"/>
      <c r="AI107"/>
      <c r="AJ107"/>
      <c r="AK107"/>
      <c r="AL107"/>
      <c r="AM107"/>
      <c r="AN107"/>
      <c r="AO107"/>
      <c r="AP107"/>
    </row>
    <row r="108" spans="23:42"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/>
      <c r="AH108"/>
      <c r="AI108"/>
      <c r="AJ108"/>
      <c r="AK108"/>
      <c r="AL108"/>
      <c r="AM108"/>
      <c r="AN108"/>
      <c r="AO108"/>
      <c r="AP108"/>
    </row>
    <row r="109" spans="23:42"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/>
      <c r="AH109"/>
      <c r="AI109"/>
      <c r="AJ109"/>
      <c r="AK109"/>
      <c r="AL109"/>
      <c r="AM109"/>
      <c r="AN109"/>
      <c r="AO109"/>
      <c r="AP109"/>
    </row>
    <row r="110" spans="23:42"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/>
      <c r="AH110"/>
      <c r="AI110"/>
      <c r="AJ110"/>
      <c r="AK110"/>
      <c r="AL110"/>
      <c r="AM110"/>
      <c r="AN110"/>
      <c r="AO110"/>
      <c r="AP110"/>
    </row>
    <row r="111" spans="23:42"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/>
      <c r="AH111"/>
      <c r="AI111"/>
      <c r="AJ111"/>
      <c r="AK111"/>
      <c r="AL111"/>
      <c r="AM111"/>
      <c r="AN111"/>
      <c r="AO111"/>
      <c r="AP111"/>
    </row>
    <row r="112" spans="23:42"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/>
      <c r="AH112"/>
      <c r="AI112"/>
      <c r="AJ112"/>
      <c r="AK112"/>
      <c r="AL112"/>
      <c r="AM112"/>
      <c r="AN112"/>
      <c r="AO112"/>
      <c r="AP112"/>
    </row>
    <row r="113" spans="23:42"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/>
      <c r="AH113"/>
      <c r="AI113"/>
      <c r="AJ113"/>
      <c r="AK113"/>
      <c r="AL113"/>
      <c r="AM113"/>
      <c r="AN113"/>
      <c r="AO113"/>
      <c r="AP113"/>
    </row>
    <row r="114" spans="23:42"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/>
      <c r="AH114"/>
      <c r="AI114"/>
      <c r="AJ114"/>
      <c r="AK114"/>
      <c r="AL114"/>
      <c r="AM114"/>
      <c r="AN114"/>
      <c r="AO114"/>
      <c r="AP114"/>
    </row>
  </sheetData>
  <mergeCells count="1">
    <mergeCell ref="A1:L1"/>
  </mergeCells>
  <hyperlinks>
    <hyperlink ref="L15" r:id="rId1" xr:uid="{00000000-0004-0000-0400-000000000000}"/>
    <hyperlink ref="L3" r:id="rId2" xr:uid="{00000000-0004-0000-0400-000001000000}"/>
    <hyperlink ref="L30" r:id="rId3" xr:uid="{00000000-0004-0000-0400-000002000000}"/>
    <hyperlink ref="L4" r:id="rId4" xr:uid="{00000000-0004-0000-0400-000003000000}"/>
    <hyperlink ref="L49" r:id="rId5" xr:uid="{00000000-0004-0000-0400-000004000000}"/>
    <hyperlink ref="L23" r:id="rId6" xr:uid="{00000000-0004-0000-0400-000005000000}"/>
    <hyperlink ref="L5" r:id="rId7" xr:uid="{00000000-0004-0000-0400-000006000000}"/>
    <hyperlink ref="L52" r:id="rId8" xr:uid="{00000000-0004-0000-0400-000007000000}"/>
    <hyperlink ref="L50" r:id="rId9" xr:uid="{00000000-0004-0000-0400-000008000000}"/>
    <hyperlink ref="L12" r:id="rId10" xr:uid="{00000000-0004-0000-0400-000009000000}"/>
    <hyperlink ref="L9" r:id="rId11" xr:uid="{00000000-0004-0000-0400-00000A000000}"/>
    <hyperlink ref="L6" r:id="rId12" xr:uid="{00000000-0004-0000-0400-00000B000000}"/>
    <hyperlink ref="L16" r:id="rId13" xr:uid="{00000000-0004-0000-0400-00000C000000}"/>
    <hyperlink ref="L51" r:id="rId14" xr:uid="{00000000-0004-0000-0400-00000D000000}"/>
    <hyperlink ref="L38" r:id="rId15" xr:uid="{00000000-0004-0000-0400-00000E000000}"/>
    <hyperlink ref="L29" r:id="rId16" xr:uid="{00000000-0004-0000-0400-00000F000000}"/>
    <hyperlink ref="L7" r:id="rId17" xr:uid="{00000000-0004-0000-0400-000010000000}"/>
    <hyperlink ref="L27" r:id="rId18" xr:uid="{00000000-0004-0000-0400-000011000000}"/>
    <hyperlink ref="L32" r:id="rId19" xr:uid="{00000000-0004-0000-0400-000012000000}"/>
    <hyperlink ref="L58" r:id="rId20" xr:uid="{00000000-0004-0000-0400-000013000000}"/>
    <hyperlink ref="L31" r:id="rId21" xr:uid="{00000000-0004-0000-0400-000014000000}"/>
    <hyperlink ref="L11" r:id="rId22" xr:uid="{00000000-0004-0000-0400-000015000000}"/>
    <hyperlink ref="L45" r:id="rId23" xr:uid="{00000000-0004-0000-0400-000016000000}"/>
    <hyperlink ref="L17" r:id="rId24" xr:uid="{00000000-0004-0000-0400-000017000000}"/>
    <hyperlink ref="L40" r:id="rId25" xr:uid="{00000000-0004-0000-0400-000018000000}"/>
    <hyperlink ref="L48" r:id="rId26" xr:uid="{00000000-0004-0000-0400-000019000000}"/>
    <hyperlink ref="L28" r:id="rId27" xr:uid="{00000000-0004-0000-0400-00001A000000}"/>
    <hyperlink ref="L14" r:id="rId28" xr:uid="{00000000-0004-0000-0400-00001B000000}"/>
    <hyperlink ref="L22" r:id="rId29" xr:uid="{00000000-0004-0000-0400-00001C000000}"/>
    <hyperlink ref="L33" r:id="rId30" xr:uid="{00000000-0004-0000-0400-00001D000000}"/>
    <hyperlink ref="L46" r:id="rId31" xr:uid="{00000000-0004-0000-0400-00001E000000}"/>
    <hyperlink ref="L70" r:id="rId32" xr:uid="{00000000-0004-0000-0400-00001F000000}"/>
    <hyperlink ref="L71" r:id="rId33" xr:uid="{00000000-0004-0000-0400-000020000000}"/>
    <hyperlink ref="L44" r:id="rId34" xr:uid="{00000000-0004-0000-0400-000021000000}"/>
    <hyperlink ref="L59" r:id="rId35" xr:uid="{00000000-0004-0000-0400-000022000000}"/>
    <hyperlink ref="L37" r:id="rId36" xr:uid="{00000000-0004-0000-0400-000023000000}"/>
    <hyperlink ref="L34" r:id="rId37" xr:uid="{00000000-0004-0000-0400-000024000000}"/>
    <hyperlink ref="L35" r:id="rId38" xr:uid="{00000000-0004-0000-0400-000025000000}"/>
    <hyperlink ref="L13" r:id="rId39" xr:uid="{00000000-0004-0000-0400-000026000000}"/>
    <hyperlink ref="L10" r:id="rId40" xr:uid="{00000000-0004-0000-0400-000027000000}"/>
    <hyperlink ref="L55" r:id="rId41" xr:uid="{00000000-0004-0000-0400-000028000000}"/>
    <hyperlink ref="L64" r:id="rId42" xr:uid="{00000000-0004-0000-0400-000029000000}"/>
    <hyperlink ref="L74" r:id="rId43" xr:uid="{00000000-0004-0000-0400-00002A000000}"/>
    <hyperlink ref="L20" r:id="rId44" xr:uid="{00000000-0004-0000-0400-00002B000000}"/>
    <hyperlink ref="L21" r:id="rId45" xr:uid="{00000000-0004-0000-0400-00002C000000}"/>
    <hyperlink ref="L61" r:id="rId46" xr:uid="{00000000-0004-0000-0400-00002D000000}"/>
    <hyperlink ref="L60" r:id="rId47" xr:uid="{00000000-0004-0000-0400-00002E000000}"/>
    <hyperlink ref="L67" r:id="rId48" xr:uid="{00000000-0004-0000-0400-00002F000000}"/>
    <hyperlink ref="L68" r:id="rId49" xr:uid="{00000000-0004-0000-0400-000030000000}"/>
    <hyperlink ref="L42" r:id="rId50" xr:uid="{00000000-0004-0000-0400-000031000000}"/>
    <hyperlink ref="L57" r:id="rId51" xr:uid="{00000000-0004-0000-0400-000032000000}"/>
    <hyperlink ref="L26" r:id="rId52" xr:uid="{00000000-0004-0000-0400-000033000000}"/>
    <hyperlink ref="L18" r:id="rId53" xr:uid="{00000000-0004-0000-0400-000034000000}"/>
    <hyperlink ref="L53" r:id="rId54" xr:uid="{00000000-0004-0000-0400-000035000000}"/>
    <hyperlink ref="L63" r:id="rId55" xr:uid="{00000000-0004-0000-0400-000036000000}"/>
    <hyperlink ref="L56" r:id="rId56" xr:uid="{00000000-0004-0000-0400-000037000000}"/>
    <hyperlink ref="L43" r:id="rId57" xr:uid="{00000000-0004-0000-0400-000038000000}"/>
    <hyperlink ref="L62" r:id="rId58" xr:uid="{00000000-0004-0000-0400-000039000000}"/>
    <hyperlink ref="L19" r:id="rId59" xr:uid="{00000000-0004-0000-0400-00003A000000}"/>
    <hyperlink ref="L72" r:id="rId60" xr:uid="{00000000-0004-0000-0400-00003B000000}"/>
    <hyperlink ref="L73" r:id="rId61" xr:uid="{00000000-0004-0000-0400-00003C000000}"/>
    <hyperlink ref="L24" r:id="rId62" xr:uid="{00000000-0004-0000-0400-00003D000000}"/>
    <hyperlink ref="L36" r:id="rId63" xr:uid="{00000000-0004-0000-0400-00003E000000}"/>
    <hyperlink ref="L39" r:id="rId64" xr:uid="{00000000-0004-0000-0400-00003F000000}"/>
    <hyperlink ref="L8" r:id="rId65" xr:uid="{00000000-0004-0000-0400-000040000000}"/>
    <hyperlink ref="L47" r:id="rId66" xr:uid="{00000000-0004-0000-0400-000041000000}"/>
    <hyperlink ref="L66" r:id="rId67" xr:uid="{00000000-0004-0000-0400-000042000000}"/>
    <hyperlink ref="L25" r:id="rId68" xr:uid="{00000000-0004-0000-0400-000043000000}"/>
  </hyperlinks>
  <printOptions horizontalCentered="1" gridLines="1"/>
  <pageMargins left="0.25" right="0.25" top="0.25" bottom="0.5" header="0.3" footer="0.1"/>
  <pageSetup scale="60" fitToHeight="0" orientation="landscape" r:id="rId69"/>
  <headerFooter>
    <oddHeader>&amp;CWausau Supply  Company Sales Staff</oddHeader>
  </headerFooter>
  <rowBreaks count="1" manualBreakCount="1">
    <brk id="45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68"/>
  <sheetViews>
    <sheetView workbookViewId="0">
      <selection sqref="A1:M68"/>
    </sheetView>
  </sheetViews>
  <sheetFormatPr defaultRowHeight="15"/>
  <sheetData>
    <row r="1" spans="1:13">
      <c r="A1" t="s">
        <v>0</v>
      </c>
    </row>
    <row r="2" spans="1:13">
      <c r="A2" t="s">
        <v>1</v>
      </c>
      <c r="B2" t="s">
        <v>3</v>
      </c>
      <c r="C2" t="s">
        <v>920</v>
      </c>
      <c r="D2" t="s">
        <v>1288</v>
      </c>
      <c r="E2" t="s">
        <v>1289</v>
      </c>
      <c r="F2" t="s">
        <v>2</v>
      </c>
      <c r="G2" t="s">
        <v>6</v>
      </c>
      <c r="H2" t="s">
        <v>7</v>
      </c>
      <c r="I2" t="s">
        <v>8</v>
      </c>
      <c r="J2" t="s">
        <v>786</v>
      </c>
      <c r="K2" t="s">
        <v>9</v>
      </c>
      <c r="L2" t="s">
        <v>1290</v>
      </c>
      <c r="M2" t="s">
        <v>11</v>
      </c>
    </row>
    <row r="3" spans="1:13">
      <c r="A3" t="s">
        <v>90</v>
      </c>
      <c r="C3" t="s">
        <v>929</v>
      </c>
      <c r="D3">
        <v>300000</v>
      </c>
      <c r="E3">
        <v>3000005</v>
      </c>
      <c r="F3" t="s">
        <v>930</v>
      </c>
      <c r="G3" t="s">
        <v>931</v>
      </c>
      <c r="H3" t="s">
        <v>17</v>
      </c>
      <c r="I3" t="s">
        <v>18</v>
      </c>
      <c r="J3">
        <v>54455</v>
      </c>
      <c r="K3">
        <v>14334</v>
      </c>
      <c r="L3" t="s">
        <v>932</v>
      </c>
      <c r="M3" t="s">
        <v>1291</v>
      </c>
    </row>
    <row r="4" spans="1:13">
      <c r="A4" t="s">
        <v>935</v>
      </c>
      <c r="C4" t="s">
        <v>936</v>
      </c>
      <c r="D4">
        <v>500000</v>
      </c>
      <c r="E4">
        <v>5000005</v>
      </c>
      <c r="F4" t="s">
        <v>937</v>
      </c>
      <c r="G4" t="s">
        <v>938</v>
      </c>
      <c r="H4" t="s">
        <v>939</v>
      </c>
      <c r="I4" t="s">
        <v>18</v>
      </c>
      <c r="J4">
        <v>54456</v>
      </c>
      <c r="K4">
        <v>15317</v>
      </c>
      <c r="L4" t="s">
        <v>940</v>
      </c>
      <c r="M4" t="s">
        <v>1292</v>
      </c>
    </row>
    <row r="5" spans="1:13">
      <c r="A5" t="s">
        <v>942</v>
      </c>
      <c r="C5" t="s">
        <v>943</v>
      </c>
      <c r="D5">
        <v>500000</v>
      </c>
      <c r="E5">
        <v>5000007</v>
      </c>
      <c r="F5" t="s">
        <v>944</v>
      </c>
      <c r="G5" t="s">
        <v>945</v>
      </c>
      <c r="H5" t="s">
        <v>205</v>
      </c>
      <c r="I5" t="s">
        <v>18</v>
      </c>
      <c r="J5">
        <v>54742</v>
      </c>
      <c r="K5">
        <v>15318</v>
      </c>
      <c r="L5" t="s">
        <v>946</v>
      </c>
      <c r="M5" t="s">
        <v>1293</v>
      </c>
    </row>
    <row r="6" spans="1:13">
      <c r="A6" t="s">
        <v>948</v>
      </c>
      <c r="C6" t="s">
        <v>949</v>
      </c>
      <c r="D6">
        <v>500000</v>
      </c>
      <c r="E6">
        <v>5000009</v>
      </c>
      <c r="F6" t="s">
        <v>950</v>
      </c>
      <c r="G6" t="s">
        <v>951</v>
      </c>
      <c r="H6" t="s">
        <v>952</v>
      </c>
      <c r="I6" t="s">
        <v>18</v>
      </c>
      <c r="J6">
        <v>54745</v>
      </c>
      <c r="K6">
        <v>15275</v>
      </c>
      <c r="L6" t="s">
        <v>953</v>
      </c>
      <c r="M6" t="s">
        <v>1294</v>
      </c>
    </row>
    <row r="7" spans="1:13">
      <c r="A7" t="s">
        <v>5</v>
      </c>
      <c r="C7" t="s">
        <v>955</v>
      </c>
      <c r="D7">
        <v>900000</v>
      </c>
      <c r="E7">
        <v>901016</v>
      </c>
      <c r="F7" t="s">
        <v>906</v>
      </c>
      <c r="G7" t="s">
        <v>956</v>
      </c>
      <c r="H7" t="s">
        <v>957</v>
      </c>
      <c r="I7" t="s">
        <v>131</v>
      </c>
      <c r="J7">
        <v>60467</v>
      </c>
      <c r="K7">
        <v>15319</v>
      </c>
      <c r="L7" t="s">
        <v>958</v>
      </c>
      <c r="M7" t="s">
        <v>959</v>
      </c>
    </row>
    <row r="8" spans="1:13">
      <c r="A8" t="s">
        <v>1295</v>
      </c>
      <c r="C8" t="s">
        <v>1296</v>
      </c>
      <c r="D8">
        <v>500000</v>
      </c>
      <c r="E8">
        <v>50000010</v>
      </c>
      <c r="F8" t="s">
        <v>907</v>
      </c>
      <c r="G8" t="s">
        <v>1297</v>
      </c>
      <c r="H8" t="s">
        <v>793</v>
      </c>
      <c r="I8" t="s">
        <v>94</v>
      </c>
      <c r="J8">
        <v>54703</v>
      </c>
      <c r="K8">
        <v>15250</v>
      </c>
      <c r="L8" t="s">
        <v>1298</v>
      </c>
      <c r="M8" t="s">
        <v>1299</v>
      </c>
    </row>
    <row r="9" spans="1:13">
      <c r="A9" t="s">
        <v>1300</v>
      </c>
      <c r="B9" t="s">
        <v>418</v>
      </c>
      <c r="C9" t="s">
        <v>1301</v>
      </c>
      <c r="D9">
        <v>600000</v>
      </c>
      <c r="E9">
        <v>616556</v>
      </c>
      <c r="F9" t="s">
        <v>1302</v>
      </c>
      <c r="G9" t="s">
        <v>1303</v>
      </c>
      <c r="H9" t="s">
        <v>1304</v>
      </c>
      <c r="I9" t="s">
        <v>73</v>
      </c>
      <c r="J9">
        <v>55009</v>
      </c>
      <c r="K9">
        <v>16521</v>
      </c>
      <c r="L9" t="s">
        <v>1305</v>
      </c>
      <c r="M9" t="s">
        <v>1306</v>
      </c>
    </row>
    <row r="10" spans="1:13">
      <c r="A10" t="s">
        <v>965</v>
      </c>
      <c r="C10" t="s">
        <v>966</v>
      </c>
      <c r="D10">
        <v>9029173</v>
      </c>
      <c r="F10" t="s">
        <v>967</v>
      </c>
      <c r="G10" t="s">
        <v>968</v>
      </c>
      <c r="H10" t="s">
        <v>116</v>
      </c>
      <c r="I10" t="s">
        <v>18</v>
      </c>
      <c r="J10">
        <v>54476</v>
      </c>
      <c r="K10">
        <v>14339</v>
      </c>
      <c r="L10" t="s">
        <v>969</v>
      </c>
      <c r="M10" t="s">
        <v>970</v>
      </c>
    </row>
    <row r="11" spans="1:13">
      <c r="A11" t="s">
        <v>1307</v>
      </c>
      <c r="C11" t="s">
        <v>988</v>
      </c>
      <c r="D11">
        <v>900000</v>
      </c>
      <c r="E11">
        <v>943865</v>
      </c>
      <c r="F11" t="s">
        <v>989</v>
      </c>
      <c r="G11" t="s">
        <v>990</v>
      </c>
      <c r="H11" t="s">
        <v>991</v>
      </c>
      <c r="I11" t="s">
        <v>992</v>
      </c>
      <c r="J11">
        <v>61201</v>
      </c>
      <c r="K11">
        <v>14370</v>
      </c>
      <c r="L11" t="s">
        <v>993</v>
      </c>
      <c r="M11" t="s">
        <v>1308</v>
      </c>
    </row>
    <row r="12" spans="1:13">
      <c r="A12" t="s">
        <v>1309</v>
      </c>
      <c r="C12" t="s">
        <v>979</v>
      </c>
      <c r="D12">
        <v>9029173</v>
      </c>
      <c r="F12" t="s">
        <v>14</v>
      </c>
      <c r="G12" t="s">
        <v>1310</v>
      </c>
      <c r="H12" t="s">
        <v>17</v>
      </c>
      <c r="I12" t="s">
        <v>18</v>
      </c>
      <c r="J12">
        <v>54455</v>
      </c>
      <c r="K12">
        <v>13325</v>
      </c>
      <c r="L12" t="s">
        <v>1311</v>
      </c>
      <c r="M12" t="s">
        <v>20</v>
      </c>
    </row>
    <row r="13" spans="1:13">
      <c r="A13" t="s">
        <v>995</v>
      </c>
      <c r="C13" t="s">
        <v>996</v>
      </c>
      <c r="D13">
        <v>500000</v>
      </c>
      <c r="E13">
        <v>5000008</v>
      </c>
      <c r="F13" t="s">
        <v>997</v>
      </c>
      <c r="G13" t="s">
        <v>998</v>
      </c>
      <c r="H13" t="s">
        <v>999</v>
      </c>
      <c r="I13" t="s">
        <v>18</v>
      </c>
      <c r="J13">
        <v>54476</v>
      </c>
      <c r="K13">
        <v>15249</v>
      </c>
      <c r="L13" t="s">
        <v>1000</v>
      </c>
      <c r="M13" t="s">
        <v>1001</v>
      </c>
    </row>
    <row r="14" spans="1:13">
      <c r="A14" t="s">
        <v>978</v>
      </c>
      <c r="C14" t="s">
        <v>1002</v>
      </c>
      <c r="D14">
        <v>300000</v>
      </c>
      <c r="E14">
        <v>3000007</v>
      </c>
      <c r="F14" t="s">
        <v>1003</v>
      </c>
      <c r="G14" t="s">
        <v>1004</v>
      </c>
      <c r="H14" t="s">
        <v>1005</v>
      </c>
      <c r="I14" t="s">
        <v>18</v>
      </c>
      <c r="J14">
        <v>53555</v>
      </c>
      <c r="K14">
        <v>17055</v>
      </c>
      <c r="L14" t="s">
        <v>1006</v>
      </c>
      <c r="M14" t="s">
        <v>1312</v>
      </c>
    </row>
    <row r="15" spans="1:13">
      <c r="A15" t="s">
        <v>126</v>
      </c>
      <c r="B15" t="s">
        <v>1008</v>
      </c>
      <c r="C15" t="s">
        <v>1313</v>
      </c>
      <c r="D15">
        <v>300000</v>
      </c>
      <c r="E15">
        <v>3000006</v>
      </c>
      <c r="F15" t="s">
        <v>1314</v>
      </c>
      <c r="G15" t="s">
        <v>1315</v>
      </c>
      <c r="H15" t="s">
        <v>99</v>
      </c>
      <c r="I15" t="s">
        <v>18</v>
      </c>
      <c r="J15">
        <v>54401</v>
      </c>
      <c r="K15">
        <v>13353</v>
      </c>
      <c r="L15" t="s">
        <v>1316</v>
      </c>
      <c r="M15" t="s">
        <v>1317</v>
      </c>
    </row>
    <row r="16" spans="1:13">
      <c r="A16" t="s">
        <v>147</v>
      </c>
      <c r="B16" t="s">
        <v>140</v>
      </c>
      <c r="C16" t="s">
        <v>1318</v>
      </c>
      <c r="D16">
        <v>1700000</v>
      </c>
      <c r="E16">
        <v>1700004</v>
      </c>
      <c r="F16" t="s">
        <v>1319</v>
      </c>
      <c r="G16" t="s">
        <v>1320</v>
      </c>
      <c r="H16" t="s">
        <v>1321</v>
      </c>
      <c r="I16" t="s">
        <v>43</v>
      </c>
      <c r="J16">
        <v>49690</v>
      </c>
      <c r="K16">
        <v>13358</v>
      </c>
      <c r="M16" t="s">
        <v>1322</v>
      </c>
    </row>
    <row r="17" spans="1:13">
      <c r="A17" t="s">
        <v>147</v>
      </c>
      <c r="B17" t="s">
        <v>140</v>
      </c>
      <c r="C17" t="s">
        <v>1015</v>
      </c>
      <c r="D17">
        <v>300000</v>
      </c>
      <c r="E17">
        <v>3000009</v>
      </c>
      <c r="F17" t="s">
        <v>880</v>
      </c>
      <c r="G17" t="s">
        <v>1323</v>
      </c>
      <c r="H17" t="s">
        <v>99</v>
      </c>
      <c r="I17" t="s">
        <v>18</v>
      </c>
      <c r="J17">
        <v>54403</v>
      </c>
      <c r="K17">
        <v>13348</v>
      </c>
      <c r="L17" t="s">
        <v>1018</v>
      </c>
      <c r="M17" t="s">
        <v>1019</v>
      </c>
    </row>
    <row r="18" spans="1:13">
      <c r="A18" t="s">
        <v>147</v>
      </c>
      <c r="B18" t="s">
        <v>140</v>
      </c>
      <c r="C18" t="s">
        <v>1324</v>
      </c>
      <c r="D18">
        <v>1700002</v>
      </c>
      <c r="E18" t="s">
        <v>1325</v>
      </c>
      <c r="F18" t="s">
        <v>1326</v>
      </c>
      <c r="G18" t="s">
        <v>1327</v>
      </c>
      <c r="H18" t="s">
        <v>1328</v>
      </c>
      <c r="I18" t="s">
        <v>43</v>
      </c>
      <c r="J18">
        <v>49285</v>
      </c>
      <c r="K18">
        <v>25059</v>
      </c>
      <c r="L18" t="s">
        <v>231</v>
      </c>
      <c r="M18" t="s">
        <v>1329</v>
      </c>
    </row>
    <row r="19" spans="1:13">
      <c r="A19" t="s">
        <v>147</v>
      </c>
      <c r="B19" t="s">
        <v>140</v>
      </c>
      <c r="C19" t="s">
        <v>1330</v>
      </c>
      <c r="D19">
        <v>300000</v>
      </c>
      <c r="E19">
        <v>3000010</v>
      </c>
      <c r="F19" t="s">
        <v>1331</v>
      </c>
      <c r="G19" t="s">
        <v>1332</v>
      </c>
      <c r="H19" t="s">
        <v>1333</v>
      </c>
      <c r="I19" t="s">
        <v>18</v>
      </c>
      <c r="J19">
        <v>53035</v>
      </c>
      <c r="K19">
        <v>13357</v>
      </c>
      <c r="M19" t="s">
        <v>1334</v>
      </c>
    </row>
    <row r="20" spans="1:13">
      <c r="A20" t="s">
        <v>147</v>
      </c>
      <c r="B20" t="s">
        <v>140</v>
      </c>
      <c r="C20" t="s">
        <v>1335</v>
      </c>
      <c r="D20">
        <v>300000</v>
      </c>
      <c r="E20">
        <v>3000008</v>
      </c>
      <c r="F20" t="s">
        <v>1336</v>
      </c>
      <c r="G20" t="s">
        <v>1337</v>
      </c>
      <c r="H20" t="s">
        <v>1338</v>
      </c>
      <c r="I20" t="s">
        <v>18</v>
      </c>
      <c r="J20">
        <v>53227</v>
      </c>
      <c r="K20">
        <v>12450</v>
      </c>
      <c r="L20" t="s">
        <v>1339</v>
      </c>
      <c r="M20" t="s">
        <v>1340</v>
      </c>
    </row>
    <row r="21" spans="1:13">
      <c r="A21" t="s">
        <v>147</v>
      </c>
      <c r="B21" t="s">
        <v>140</v>
      </c>
      <c r="C21" t="s">
        <v>1021</v>
      </c>
      <c r="D21">
        <v>300000</v>
      </c>
      <c r="E21">
        <v>3000002</v>
      </c>
      <c r="F21" t="s">
        <v>187</v>
      </c>
      <c r="G21" t="s">
        <v>1022</v>
      </c>
      <c r="H21" t="s">
        <v>190</v>
      </c>
      <c r="I21" t="s">
        <v>43</v>
      </c>
      <c r="J21">
        <v>49866</v>
      </c>
      <c r="K21">
        <v>13374</v>
      </c>
      <c r="L21" t="s">
        <v>191</v>
      </c>
      <c r="M21" t="s">
        <v>1341</v>
      </c>
    </row>
    <row r="22" spans="1:13">
      <c r="A22" t="s">
        <v>147</v>
      </c>
      <c r="B22" t="s">
        <v>140</v>
      </c>
      <c r="C22" t="s">
        <v>1342</v>
      </c>
      <c r="D22">
        <v>300000</v>
      </c>
      <c r="E22">
        <v>3000001</v>
      </c>
      <c r="F22" t="s">
        <v>1343</v>
      </c>
      <c r="G22" t="s">
        <v>1344</v>
      </c>
      <c r="H22" t="s">
        <v>1345</v>
      </c>
      <c r="I22" t="s">
        <v>18</v>
      </c>
      <c r="J22">
        <v>54114</v>
      </c>
      <c r="K22">
        <v>13361</v>
      </c>
      <c r="L22" t="s">
        <v>1346</v>
      </c>
      <c r="M22" t="s">
        <v>1347</v>
      </c>
    </row>
    <row r="23" spans="1:13">
      <c r="A23" t="s">
        <v>126</v>
      </c>
      <c r="B23" t="s">
        <v>1039</v>
      </c>
      <c r="C23" t="s">
        <v>1040</v>
      </c>
      <c r="D23">
        <v>1100000</v>
      </c>
      <c r="E23">
        <v>25053</v>
      </c>
      <c r="F23" t="s">
        <v>1041</v>
      </c>
      <c r="G23" t="s">
        <v>1042</v>
      </c>
      <c r="H23" t="s">
        <v>1043</v>
      </c>
      <c r="I23" t="s">
        <v>294</v>
      </c>
      <c r="J23">
        <v>52040</v>
      </c>
      <c r="K23">
        <v>25070</v>
      </c>
      <c r="L23" t="s">
        <v>1044</v>
      </c>
      <c r="M23" t="s">
        <v>1045</v>
      </c>
    </row>
    <row r="24" spans="1:13">
      <c r="A24" t="s">
        <v>1164</v>
      </c>
      <c r="B24" t="s">
        <v>219</v>
      </c>
      <c r="F24" t="s">
        <v>1246</v>
      </c>
    </row>
    <row r="25" spans="1:13">
      <c r="A25" t="s">
        <v>147</v>
      </c>
      <c r="B25" t="s">
        <v>219</v>
      </c>
      <c r="C25" t="s">
        <v>1185</v>
      </c>
      <c r="D25">
        <v>600000</v>
      </c>
      <c r="E25">
        <v>616558</v>
      </c>
      <c r="F25" t="s">
        <v>891</v>
      </c>
      <c r="G25" t="s">
        <v>1348</v>
      </c>
      <c r="H25" t="s">
        <v>1349</v>
      </c>
      <c r="I25" t="s">
        <v>73</v>
      </c>
      <c r="J25">
        <v>55024</v>
      </c>
      <c r="K25">
        <v>16514</v>
      </c>
      <c r="L25" t="s">
        <v>449</v>
      </c>
      <c r="M25" t="s">
        <v>1188</v>
      </c>
    </row>
    <row r="26" spans="1:13">
      <c r="A26" t="s">
        <v>147</v>
      </c>
      <c r="B26" t="s">
        <v>219</v>
      </c>
      <c r="C26" t="s">
        <v>1047</v>
      </c>
      <c r="D26">
        <v>1400000</v>
      </c>
      <c r="E26">
        <v>14312</v>
      </c>
      <c r="F26" t="s">
        <v>892</v>
      </c>
      <c r="G26" t="s">
        <v>1048</v>
      </c>
      <c r="H26" t="s">
        <v>324</v>
      </c>
      <c r="I26" t="s">
        <v>259</v>
      </c>
      <c r="J26">
        <v>57034</v>
      </c>
      <c r="K26">
        <v>14312</v>
      </c>
      <c r="L26" t="s">
        <v>1049</v>
      </c>
      <c r="M26" t="s">
        <v>1050</v>
      </c>
    </row>
    <row r="27" spans="1:13">
      <c r="A27" t="s">
        <v>147</v>
      </c>
      <c r="B27" t="s">
        <v>219</v>
      </c>
      <c r="C27" t="s">
        <v>1350</v>
      </c>
      <c r="D27">
        <v>1100000</v>
      </c>
      <c r="E27">
        <v>25050</v>
      </c>
      <c r="F27" t="s">
        <v>1351</v>
      </c>
      <c r="G27" t="s">
        <v>1352</v>
      </c>
      <c r="H27" t="s">
        <v>1353</v>
      </c>
      <c r="I27" t="s">
        <v>294</v>
      </c>
      <c r="J27">
        <v>52748</v>
      </c>
      <c r="K27">
        <v>25051</v>
      </c>
      <c r="L27" t="s">
        <v>1354</v>
      </c>
      <c r="M27" t="s">
        <v>1355</v>
      </c>
    </row>
    <row r="28" spans="1:13">
      <c r="A28" t="s">
        <v>147</v>
      </c>
      <c r="B28" t="s">
        <v>219</v>
      </c>
      <c r="C28" t="s">
        <v>1070</v>
      </c>
      <c r="D28">
        <v>1200000</v>
      </c>
      <c r="E28">
        <v>1200001</v>
      </c>
      <c r="F28" t="s">
        <v>900</v>
      </c>
      <c r="G28" t="s">
        <v>1071</v>
      </c>
      <c r="H28" t="s">
        <v>1072</v>
      </c>
      <c r="I28" t="s">
        <v>294</v>
      </c>
      <c r="J28">
        <v>50211</v>
      </c>
      <c r="K28">
        <v>25052</v>
      </c>
      <c r="L28" t="s">
        <v>1073</v>
      </c>
      <c r="M28" t="s">
        <v>1074</v>
      </c>
    </row>
    <row r="29" spans="1:13">
      <c r="A29" t="s">
        <v>147</v>
      </c>
      <c r="B29" t="s">
        <v>219</v>
      </c>
      <c r="C29" t="s">
        <v>1075</v>
      </c>
      <c r="D29">
        <v>500000</v>
      </c>
      <c r="E29">
        <v>5000004</v>
      </c>
      <c r="F29" t="s">
        <v>919</v>
      </c>
      <c r="G29" t="s">
        <v>1076</v>
      </c>
      <c r="H29" t="s">
        <v>1077</v>
      </c>
      <c r="I29" t="s">
        <v>18</v>
      </c>
      <c r="J29">
        <v>54615</v>
      </c>
      <c r="K29">
        <v>15232</v>
      </c>
      <c r="L29" t="s">
        <v>1078</v>
      </c>
      <c r="M29" t="s">
        <v>1079</v>
      </c>
    </row>
    <row r="30" spans="1:13">
      <c r="A30" t="s">
        <v>147</v>
      </c>
      <c r="B30" t="s">
        <v>219</v>
      </c>
      <c r="C30" t="s">
        <v>1081</v>
      </c>
      <c r="D30">
        <v>1100000</v>
      </c>
      <c r="E30">
        <v>25051</v>
      </c>
      <c r="F30" t="s">
        <v>1082</v>
      </c>
      <c r="G30" t="s">
        <v>1356</v>
      </c>
      <c r="H30" t="s">
        <v>1084</v>
      </c>
      <c r="I30" t="s">
        <v>294</v>
      </c>
      <c r="J30">
        <v>52002</v>
      </c>
      <c r="K30">
        <v>19378</v>
      </c>
      <c r="L30" t="s">
        <v>1085</v>
      </c>
      <c r="M30" t="s">
        <v>1086</v>
      </c>
    </row>
    <row r="31" spans="1:13">
      <c r="A31" t="s">
        <v>981</v>
      </c>
      <c r="C31" t="s">
        <v>982</v>
      </c>
      <c r="D31">
        <v>110000</v>
      </c>
      <c r="E31">
        <v>25052</v>
      </c>
      <c r="F31" t="s">
        <v>983</v>
      </c>
      <c r="G31" t="s">
        <v>984</v>
      </c>
      <c r="H31" t="s">
        <v>985</v>
      </c>
      <c r="I31" t="s">
        <v>294</v>
      </c>
      <c r="J31">
        <v>50401</v>
      </c>
      <c r="K31">
        <v>14372</v>
      </c>
      <c r="L31" t="s">
        <v>986</v>
      </c>
      <c r="M31" t="s">
        <v>1357</v>
      </c>
    </row>
    <row r="32" spans="1:13">
      <c r="A32" t="s">
        <v>126</v>
      </c>
      <c r="B32" t="s">
        <v>1087</v>
      </c>
      <c r="C32" t="s">
        <v>1088</v>
      </c>
      <c r="D32">
        <v>1500000</v>
      </c>
      <c r="E32">
        <v>1525053</v>
      </c>
      <c r="F32" t="s">
        <v>334</v>
      </c>
      <c r="G32" t="s">
        <v>336</v>
      </c>
      <c r="H32" t="s">
        <v>337</v>
      </c>
      <c r="I32" t="s">
        <v>32</v>
      </c>
      <c r="J32">
        <v>67215</v>
      </c>
      <c r="K32">
        <v>25053</v>
      </c>
      <c r="L32" t="s">
        <v>338</v>
      </c>
      <c r="M32" t="s">
        <v>1358</v>
      </c>
    </row>
    <row r="33" spans="1:13">
      <c r="A33" t="s">
        <v>147</v>
      </c>
      <c r="B33" t="s">
        <v>345</v>
      </c>
      <c r="C33" t="s">
        <v>1089</v>
      </c>
      <c r="D33">
        <v>1500000</v>
      </c>
      <c r="E33">
        <v>1525061</v>
      </c>
      <c r="F33" t="s">
        <v>340</v>
      </c>
      <c r="G33" t="s">
        <v>342</v>
      </c>
      <c r="H33" t="s">
        <v>337</v>
      </c>
      <c r="I33" t="s">
        <v>32</v>
      </c>
      <c r="J33">
        <v>67212</v>
      </c>
      <c r="K33">
        <v>13367</v>
      </c>
      <c r="L33" t="s">
        <v>343</v>
      </c>
      <c r="M33" t="s">
        <v>344</v>
      </c>
    </row>
    <row r="34" spans="1:13">
      <c r="A34" t="s">
        <v>147</v>
      </c>
      <c r="B34" t="s">
        <v>345</v>
      </c>
      <c r="F34" t="s">
        <v>1246</v>
      </c>
    </row>
    <row r="35" spans="1:13">
      <c r="A35" t="s">
        <v>147</v>
      </c>
      <c r="B35" t="s">
        <v>345</v>
      </c>
      <c r="C35" t="s">
        <v>1090</v>
      </c>
      <c r="D35">
        <v>1200000</v>
      </c>
      <c r="E35">
        <v>1200002</v>
      </c>
      <c r="F35" t="s">
        <v>883</v>
      </c>
      <c r="G35" t="s">
        <v>1091</v>
      </c>
      <c r="H35" t="s">
        <v>1092</v>
      </c>
      <c r="I35" t="s">
        <v>50</v>
      </c>
      <c r="J35">
        <v>68046</v>
      </c>
      <c r="K35">
        <v>14336</v>
      </c>
      <c r="L35" t="s">
        <v>1093</v>
      </c>
      <c r="M35" t="s">
        <v>1094</v>
      </c>
    </row>
    <row r="36" spans="1:13">
      <c r="A36" t="s">
        <v>147</v>
      </c>
      <c r="B36" t="s">
        <v>345</v>
      </c>
      <c r="C36" t="s">
        <v>1096</v>
      </c>
      <c r="D36">
        <v>1500000</v>
      </c>
      <c r="E36">
        <v>1525064</v>
      </c>
      <c r="F36" t="s">
        <v>888</v>
      </c>
      <c r="G36" t="s">
        <v>1097</v>
      </c>
      <c r="H36" t="s">
        <v>1098</v>
      </c>
      <c r="I36" t="s">
        <v>373</v>
      </c>
      <c r="J36">
        <v>64015</v>
      </c>
      <c r="K36">
        <v>25050</v>
      </c>
      <c r="L36" t="s">
        <v>1099</v>
      </c>
      <c r="M36" t="s">
        <v>1100</v>
      </c>
    </row>
    <row r="37" spans="1:13">
      <c r="A37" t="s">
        <v>147</v>
      </c>
      <c r="B37" t="s">
        <v>345</v>
      </c>
      <c r="F37" t="s">
        <v>1246</v>
      </c>
    </row>
    <row r="38" spans="1:13">
      <c r="A38" t="s">
        <v>1164</v>
      </c>
      <c r="B38" t="s">
        <v>345</v>
      </c>
      <c r="F38" t="s">
        <v>1246</v>
      </c>
    </row>
    <row r="39" spans="1:13">
      <c r="A39" t="s">
        <v>126</v>
      </c>
      <c r="B39" t="s">
        <v>1126</v>
      </c>
      <c r="C39" t="s">
        <v>1127</v>
      </c>
      <c r="D39">
        <v>1300000</v>
      </c>
      <c r="E39">
        <v>22399</v>
      </c>
      <c r="F39" t="s">
        <v>1128</v>
      </c>
      <c r="G39" t="s">
        <v>1129</v>
      </c>
      <c r="H39" t="s">
        <v>1130</v>
      </c>
      <c r="I39" t="s">
        <v>131</v>
      </c>
      <c r="J39">
        <v>62629</v>
      </c>
      <c r="K39">
        <v>25057</v>
      </c>
      <c r="L39" t="s">
        <v>100</v>
      </c>
      <c r="M39" t="s">
        <v>1359</v>
      </c>
    </row>
    <row r="40" spans="1:13">
      <c r="A40" t="s">
        <v>1164</v>
      </c>
      <c r="B40" t="s">
        <v>625</v>
      </c>
      <c r="C40" t="s">
        <v>1165</v>
      </c>
      <c r="D40">
        <v>1300000</v>
      </c>
      <c r="E40" t="s">
        <v>1360</v>
      </c>
      <c r="F40" t="s">
        <v>1166</v>
      </c>
      <c r="G40" t="s">
        <v>1167</v>
      </c>
      <c r="H40" t="s">
        <v>1130</v>
      </c>
      <c r="I40" t="s">
        <v>131</v>
      </c>
      <c r="J40">
        <v>62629</v>
      </c>
      <c r="K40">
        <v>14347</v>
      </c>
      <c r="L40" t="s">
        <v>1168</v>
      </c>
      <c r="M40" t="s">
        <v>1169</v>
      </c>
    </row>
    <row r="41" spans="1:13">
      <c r="A41" t="s">
        <v>147</v>
      </c>
      <c r="B41" t="s">
        <v>625</v>
      </c>
      <c r="C41" t="s">
        <v>1361</v>
      </c>
      <c r="D41">
        <v>900000</v>
      </c>
      <c r="E41">
        <v>901015</v>
      </c>
      <c r="F41" t="s">
        <v>1362</v>
      </c>
      <c r="G41" t="s">
        <v>1363</v>
      </c>
      <c r="H41" t="s">
        <v>1364</v>
      </c>
      <c r="I41" t="s">
        <v>131</v>
      </c>
      <c r="J41">
        <v>60448</v>
      </c>
      <c r="K41">
        <v>19379</v>
      </c>
      <c r="L41" t="s">
        <v>1365</v>
      </c>
      <c r="M41" t="s">
        <v>1366</v>
      </c>
    </row>
    <row r="42" spans="1:13">
      <c r="A42" t="s">
        <v>1158</v>
      </c>
      <c r="B42" t="s">
        <v>625</v>
      </c>
      <c r="C42" t="s">
        <v>1160</v>
      </c>
      <c r="D42">
        <v>900000</v>
      </c>
      <c r="E42">
        <v>335375</v>
      </c>
      <c r="F42" t="s">
        <v>916</v>
      </c>
      <c r="G42" t="s">
        <v>1161</v>
      </c>
      <c r="H42" t="s">
        <v>177</v>
      </c>
      <c r="I42" t="s">
        <v>131</v>
      </c>
      <c r="J42">
        <v>60513</v>
      </c>
      <c r="K42">
        <v>25062</v>
      </c>
      <c r="L42" t="s">
        <v>1162</v>
      </c>
      <c r="M42" t="s">
        <v>1163</v>
      </c>
    </row>
    <row r="43" spans="1:13">
      <c r="A43" t="s">
        <v>147</v>
      </c>
      <c r="B43" t="s">
        <v>625</v>
      </c>
      <c r="F43" t="s">
        <v>1246</v>
      </c>
    </row>
    <row r="44" spans="1:13">
      <c r="A44" t="s">
        <v>147</v>
      </c>
      <c r="B44" t="s">
        <v>625</v>
      </c>
      <c r="C44" t="s">
        <v>1137</v>
      </c>
      <c r="D44">
        <v>1300000</v>
      </c>
      <c r="E44" t="s">
        <v>1367</v>
      </c>
      <c r="F44" t="s">
        <v>369</v>
      </c>
      <c r="G44" t="s">
        <v>1368</v>
      </c>
      <c r="H44" t="s">
        <v>1369</v>
      </c>
      <c r="I44" t="s">
        <v>373</v>
      </c>
      <c r="J44">
        <v>63366</v>
      </c>
      <c r="K44">
        <v>25061</v>
      </c>
      <c r="L44" t="s">
        <v>1140</v>
      </c>
      <c r="M44" t="s">
        <v>375</v>
      </c>
    </row>
    <row r="45" spans="1:13">
      <c r="A45" t="s">
        <v>147</v>
      </c>
      <c r="B45" t="s">
        <v>625</v>
      </c>
      <c r="C45" t="s">
        <v>1370</v>
      </c>
      <c r="D45">
        <v>1300000</v>
      </c>
      <c r="E45" t="s">
        <v>1371</v>
      </c>
      <c r="F45" t="s">
        <v>1372</v>
      </c>
      <c r="G45" t="s">
        <v>1373</v>
      </c>
      <c r="H45" t="s">
        <v>1374</v>
      </c>
      <c r="I45" t="s">
        <v>131</v>
      </c>
      <c r="J45">
        <v>62236</v>
      </c>
      <c r="K45">
        <v>25063</v>
      </c>
      <c r="L45" t="s">
        <v>1375</v>
      </c>
      <c r="M45" t="s">
        <v>1376</v>
      </c>
    </row>
    <row r="46" spans="1:13">
      <c r="A46" t="s">
        <v>981</v>
      </c>
      <c r="B46" t="s">
        <v>625</v>
      </c>
      <c r="F46" t="s">
        <v>1246</v>
      </c>
    </row>
    <row r="47" spans="1:13">
      <c r="A47" t="s">
        <v>126</v>
      </c>
      <c r="B47" t="s">
        <v>1170</v>
      </c>
      <c r="C47" t="s">
        <v>1171</v>
      </c>
      <c r="D47">
        <v>600000</v>
      </c>
      <c r="E47">
        <v>616560</v>
      </c>
      <c r="F47" t="s">
        <v>1172</v>
      </c>
      <c r="G47" t="s">
        <v>1173</v>
      </c>
      <c r="H47" t="s">
        <v>1174</v>
      </c>
      <c r="I47" t="s">
        <v>73</v>
      </c>
      <c r="J47">
        <v>55387</v>
      </c>
      <c r="L47" t="s">
        <v>1175</v>
      </c>
      <c r="M47" t="s">
        <v>1176</v>
      </c>
    </row>
    <row r="48" spans="1:13">
      <c r="A48" t="s">
        <v>147</v>
      </c>
      <c r="B48" t="s">
        <v>418</v>
      </c>
      <c r="C48" t="s">
        <v>1177</v>
      </c>
      <c r="D48">
        <v>600000</v>
      </c>
      <c r="E48">
        <v>616559</v>
      </c>
      <c r="F48" t="s">
        <v>899</v>
      </c>
      <c r="G48" t="s">
        <v>1178</v>
      </c>
      <c r="H48" t="s">
        <v>1179</v>
      </c>
      <c r="I48" t="s">
        <v>73</v>
      </c>
      <c r="J48">
        <v>55379</v>
      </c>
      <c r="K48">
        <v>14373</v>
      </c>
      <c r="L48" t="s">
        <v>1180</v>
      </c>
      <c r="M48" t="s">
        <v>1181</v>
      </c>
    </row>
    <row r="49" spans="1:13">
      <c r="A49" t="s">
        <v>147</v>
      </c>
      <c r="B49" t="s">
        <v>418</v>
      </c>
      <c r="C49" t="s">
        <v>1182</v>
      </c>
      <c r="D49">
        <v>1400000</v>
      </c>
      <c r="E49">
        <v>1423007</v>
      </c>
      <c r="F49" t="s">
        <v>410</v>
      </c>
      <c r="G49" t="s">
        <v>412</v>
      </c>
      <c r="H49" t="s">
        <v>413</v>
      </c>
      <c r="I49" t="s">
        <v>259</v>
      </c>
      <c r="J49">
        <v>57006</v>
      </c>
      <c r="K49">
        <v>23007</v>
      </c>
      <c r="L49" t="s">
        <v>414</v>
      </c>
      <c r="M49" t="s">
        <v>415</v>
      </c>
    </row>
    <row r="50" spans="1:13">
      <c r="A50" t="s">
        <v>147</v>
      </c>
      <c r="B50" t="s">
        <v>418</v>
      </c>
      <c r="C50" t="s">
        <v>1183</v>
      </c>
      <c r="D50">
        <v>800000</v>
      </c>
      <c r="E50" t="s">
        <v>1377</v>
      </c>
      <c r="F50" t="s">
        <v>428</v>
      </c>
      <c r="G50" t="s">
        <v>430</v>
      </c>
      <c r="H50" t="s">
        <v>431</v>
      </c>
      <c r="I50" t="s">
        <v>73</v>
      </c>
      <c r="J50">
        <v>56518</v>
      </c>
      <c r="K50">
        <v>16506</v>
      </c>
      <c r="L50" t="s">
        <v>432</v>
      </c>
      <c r="M50" t="s">
        <v>433</v>
      </c>
    </row>
    <row r="51" spans="1:13">
      <c r="A51" t="s">
        <v>147</v>
      </c>
      <c r="B51" t="s">
        <v>418</v>
      </c>
      <c r="C51" t="s">
        <v>1190</v>
      </c>
      <c r="D51">
        <v>800000</v>
      </c>
      <c r="E51" t="s">
        <v>1378</v>
      </c>
      <c r="F51" t="s">
        <v>914</v>
      </c>
      <c r="G51" t="s">
        <v>1191</v>
      </c>
      <c r="H51" t="s">
        <v>454</v>
      </c>
      <c r="I51" t="s">
        <v>73</v>
      </c>
      <c r="J51">
        <v>56501</v>
      </c>
      <c r="K51">
        <v>18018</v>
      </c>
      <c r="L51" t="s">
        <v>1192</v>
      </c>
      <c r="M51" t="s">
        <v>1193</v>
      </c>
    </row>
    <row r="52" spans="1:13">
      <c r="A52" t="s">
        <v>147</v>
      </c>
      <c r="B52" t="s">
        <v>418</v>
      </c>
      <c r="C52" t="s">
        <v>1379</v>
      </c>
      <c r="D52">
        <v>500000</v>
      </c>
      <c r="E52">
        <v>5000006</v>
      </c>
      <c r="F52" t="s">
        <v>1380</v>
      </c>
      <c r="G52" t="s">
        <v>1381</v>
      </c>
      <c r="H52" t="s">
        <v>1382</v>
      </c>
      <c r="I52" t="s">
        <v>18</v>
      </c>
      <c r="J52">
        <v>54720</v>
      </c>
      <c r="K52">
        <v>15212</v>
      </c>
      <c r="L52" t="s">
        <v>1383</v>
      </c>
      <c r="M52" t="s">
        <v>1384</v>
      </c>
    </row>
    <row r="53" spans="1:13">
      <c r="A53" t="s">
        <v>1385</v>
      </c>
      <c r="B53" t="s">
        <v>418</v>
      </c>
      <c r="C53" t="s">
        <v>1206</v>
      </c>
      <c r="D53">
        <v>600000</v>
      </c>
      <c r="E53">
        <v>616561</v>
      </c>
      <c r="F53" t="s">
        <v>423</v>
      </c>
      <c r="G53" t="s">
        <v>457</v>
      </c>
      <c r="H53" t="s">
        <v>458</v>
      </c>
      <c r="I53" t="s">
        <v>73</v>
      </c>
      <c r="J53">
        <v>55303</v>
      </c>
      <c r="K53">
        <v>14379</v>
      </c>
      <c r="L53" t="s">
        <v>459</v>
      </c>
      <c r="M53" t="s">
        <v>460</v>
      </c>
    </row>
    <row r="54" spans="1:13">
      <c r="A54" t="s">
        <v>147</v>
      </c>
      <c r="B54" t="s">
        <v>418</v>
      </c>
      <c r="F54" t="s">
        <v>1246</v>
      </c>
    </row>
    <row r="55" spans="1:13">
      <c r="A55" t="s">
        <v>126</v>
      </c>
      <c r="B55" t="s">
        <v>1207</v>
      </c>
      <c r="C55" t="s">
        <v>1208</v>
      </c>
      <c r="D55">
        <v>1600000</v>
      </c>
      <c r="E55">
        <v>1600002</v>
      </c>
      <c r="F55" t="s">
        <v>1209</v>
      </c>
      <c r="G55" t="s">
        <v>1386</v>
      </c>
      <c r="H55" t="s">
        <v>258</v>
      </c>
      <c r="I55" t="s">
        <v>259</v>
      </c>
      <c r="J55">
        <v>57703</v>
      </c>
      <c r="K55">
        <v>14351</v>
      </c>
      <c r="L55" t="s">
        <v>1211</v>
      </c>
      <c r="M55" t="s">
        <v>1212</v>
      </c>
    </row>
    <row r="56" spans="1:13">
      <c r="A56" t="s">
        <v>147</v>
      </c>
      <c r="B56" t="s">
        <v>1216</v>
      </c>
      <c r="C56" t="s">
        <v>1217</v>
      </c>
      <c r="D56">
        <v>1400000</v>
      </c>
      <c r="E56">
        <v>14314</v>
      </c>
      <c r="F56" t="s">
        <v>233</v>
      </c>
      <c r="G56" t="s">
        <v>1218</v>
      </c>
      <c r="H56" t="s">
        <v>237</v>
      </c>
      <c r="I56" t="s">
        <v>50</v>
      </c>
      <c r="J56">
        <v>69361</v>
      </c>
      <c r="K56">
        <v>14341</v>
      </c>
      <c r="L56" t="s">
        <v>238</v>
      </c>
      <c r="M56" t="s">
        <v>239</v>
      </c>
    </row>
    <row r="57" spans="1:13">
      <c r="A57" t="s">
        <v>147</v>
      </c>
      <c r="B57" t="s">
        <v>1216</v>
      </c>
      <c r="C57" t="s">
        <v>1219</v>
      </c>
      <c r="D57">
        <v>1600000</v>
      </c>
      <c r="E57">
        <v>1600004</v>
      </c>
      <c r="F57" t="s">
        <v>890</v>
      </c>
      <c r="G57" t="s">
        <v>1220</v>
      </c>
      <c r="H57" t="s">
        <v>1221</v>
      </c>
      <c r="I57" t="s">
        <v>245</v>
      </c>
      <c r="J57">
        <v>80917</v>
      </c>
      <c r="K57">
        <v>14352</v>
      </c>
      <c r="L57" t="s">
        <v>1222</v>
      </c>
      <c r="M57" t="s">
        <v>1223</v>
      </c>
    </row>
    <row r="58" spans="1:13">
      <c r="A58" t="s">
        <v>147</v>
      </c>
      <c r="B58" t="s">
        <v>1216</v>
      </c>
      <c r="C58" t="s">
        <v>1387</v>
      </c>
      <c r="D58">
        <v>800000</v>
      </c>
      <c r="E58" t="s">
        <v>1388</v>
      </c>
      <c r="F58" t="s">
        <v>1389</v>
      </c>
      <c r="G58" t="s">
        <v>1390</v>
      </c>
      <c r="H58" t="s">
        <v>1391</v>
      </c>
      <c r="I58" t="s">
        <v>230</v>
      </c>
      <c r="J58">
        <v>58521</v>
      </c>
      <c r="K58">
        <v>18019</v>
      </c>
      <c r="L58" t="s">
        <v>1392</v>
      </c>
      <c r="M58" t="s">
        <v>1393</v>
      </c>
    </row>
    <row r="59" spans="1:13">
      <c r="A59" t="s">
        <v>147</v>
      </c>
      <c r="B59" t="s">
        <v>1216</v>
      </c>
      <c r="F59" t="s">
        <v>1246</v>
      </c>
    </row>
    <row r="60" spans="1:13">
      <c r="A60" t="s">
        <v>147</v>
      </c>
      <c r="B60" t="s">
        <v>1216</v>
      </c>
      <c r="F60" t="s">
        <v>1246</v>
      </c>
    </row>
    <row r="61" spans="1:13">
      <c r="A61" t="s">
        <v>147</v>
      </c>
      <c r="B61" t="s">
        <v>1216</v>
      </c>
      <c r="F61" t="s">
        <v>1246</v>
      </c>
    </row>
    <row r="62" spans="1:13">
      <c r="A62" t="s">
        <v>126</v>
      </c>
      <c r="B62" t="s">
        <v>1263</v>
      </c>
      <c r="C62" t="s">
        <v>1285</v>
      </c>
      <c r="D62">
        <v>1800000</v>
      </c>
      <c r="E62">
        <v>1800001</v>
      </c>
      <c r="F62" t="s">
        <v>479</v>
      </c>
      <c r="G62" t="s">
        <v>1394</v>
      </c>
      <c r="H62" t="s">
        <v>524</v>
      </c>
      <c r="I62" t="s">
        <v>525</v>
      </c>
      <c r="J62">
        <v>99218</v>
      </c>
      <c r="K62">
        <v>13507</v>
      </c>
      <c r="L62" t="s">
        <v>526</v>
      </c>
      <c r="M62" t="s">
        <v>527</v>
      </c>
    </row>
    <row r="63" spans="1:13">
      <c r="A63" t="s">
        <v>147</v>
      </c>
      <c r="B63" t="s">
        <v>1216</v>
      </c>
      <c r="C63" t="s">
        <v>1395</v>
      </c>
      <c r="D63">
        <v>1800000</v>
      </c>
      <c r="E63">
        <v>1800007</v>
      </c>
      <c r="F63" t="s">
        <v>1396</v>
      </c>
      <c r="G63" t="s">
        <v>1397</v>
      </c>
      <c r="H63" t="s">
        <v>1252</v>
      </c>
      <c r="I63" t="s">
        <v>212</v>
      </c>
      <c r="J63">
        <v>59601</v>
      </c>
      <c r="K63">
        <v>25081</v>
      </c>
      <c r="L63" t="s">
        <v>1398</v>
      </c>
      <c r="M63" t="s">
        <v>1399</v>
      </c>
    </row>
    <row r="64" spans="1:13">
      <c r="A64" t="s">
        <v>147</v>
      </c>
      <c r="B64" t="s">
        <v>477</v>
      </c>
      <c r="C64" t="s">
        <v>1400</v>
      </c>
      <c r="D64">
        <v>1800000</v>
      </c>
      <c r="E64">
        <v>1800002</v>
      </c>
      <c r="F64" t="s">
        <v>1401</v>
      </c>
      <c r="G64" t="s">
        <v>1402</v>
      </c>
      <c r="H64" t="s">
        <v>530</v>
      </c>
      <c r="I64" t="s">
        <v>212</v>
      </c>
      <c r="J64">
        <v>59404</v>
      </c>
      <c r="K64">
        <v>17951</v>
      </c>
      <c r="L64" t="s">
        <v>1403</v>
      </c>
      <c r="M64" t="s">
        <v>1404</v>
      </c>
    </row>
    <row r="65" spans="1:13">
      <c r="A65" t="s">
        <v>1164</v>
      </c>
      <c r="B65" t="s">
        <v>477</v>
      </c>
      <c r="C65" t="s">
        <v>1405</v>
      </c>
      <c r="D65">
        <v>1800000</v>
      </c>
      <c r="E65">
        <v>1800003</v>
      </c>
      <c r="F65" t="s">
        <v>1406</v>
      </c>
      <c r="G65" t="s">
        <v>1407</v>
      </c>
      <c r="H65" t="s">
        <v>1408</v>
      </c>
      <c r="I65" t="s">
        <v>525</v>
      </c>
      <c r="J65">
        <v>99025</v>
      </c>
      <c r="K65">
        <v>25083</v>
      </c>
      <c r="L65" t="s">
        <v>1409</v>
      </c>
      <c r="M65" t="s">
        <v>1410</v>
      </c>
    </row>
    <row r="66" spans="1:13">
      <c r="A66" t="s">
        <v>147</v>
      </c>
      <c r="B66" t="s">
        <v>477</v>
      </c>
      <c r="C66" t="s">
        <v>1267</v>
      </c>
      <c r="D66">
        <v>1800000</v>
      </c>
      <c r="E66">
        <v>1800004</v>
      </c>
      <c r="F66" t="s">
        <v>868</v>
      </c>
      <c r="G66" t="s">
        <v>1411</v>
      </c>
      <c r="H66" t="s">
        <v>524</v>
      </c>
      <c r="I66" t="s">
        <v>525</v>
      </c>
      <c r="J66">
        <v>99202</v>
      </c>
      <c r="K66">
        <v>25084</v>
      </c>
      <c r="L66" t="s">
        <v>1270</v>
      </c>
      <c r="M66" t="s">
        <v>1412</v>
      </c>
    </row>
    <row r="67" spans="1:13">
      <c r="A67" t="s">
        <v>147</v>
      </c>
      <c r="B67" t="s">
        <v>477</v>
      </c>
      <c r="C67" t="s">
        <v>1413</v>
      </c>
      <c r="D67">
        <v>1800000</v>
      </c>
      <c r="E67">
        <v>1800005</v>
      </c>
      <c r="F67" t="s">
        <v>1246</v>
      </c>
    </row>
    <row r="68" spans="1:13">
      <c r="A68" t="s">
        <v>147</v>
      </c>
      <c r="B68" t="s">
        <v>477</v>
      </c>
      <c r="C68" t="s">
        <v>1414</v>
      </c>
      <c r="D68">
        <v>1800000</v>
      </c>
      <c r="E68">
        <v>1800006</v>
      </c>
      <c r="F68" t="s">
        <v>1415</v>
      </c>
      <c r="G68" t="s">
        <v>1416</v>
      </c>
      <c r="H68" t="s">
        <v>1417</v>
      </c>
      <c r="I68" t="s">
        <v>525</v>
      </c>
      <c r="J68">
        <v>99006</v>
      </c>
      <c r="K68">
        <v>25085</v>
      </c>
      <c r="L68" t="s">
        <v>1418</v>
      </c>
      <c r="M68" t="s">
        <v>1419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H125"/>
  <sheetViews>
    <sheetView zoomScaleNormal="100" workbookViewId="0">
      <pane ySplit="2" topLeftCell="A18" activePane="bottomLeft" state="frozen"/>
      <selection pane="bottomLeft" activeCell="E25" sqref="E25"/>
    </sheetView>
  </sheetViews>
  <sheetFormatPr defaultColWidth="9.28515625" defaultRowHeight="15"/>
  <cols>
    <col min="1" max="1" width="24.28515625" style="78" customWidth="1"/>
    <col min="2" max="2" width="8.85546875" bestFit="1" customWidth="1"/>
    <col min="3" max="3" width="9.7109375" style="64" customWidth="1"/>
    <col min="4" max="5" width="10.85546875" customWidth="1"/>
    <col min="6" max="6" width="17.42578125" bestFit="1" customWidth="1"/>
    <col min="7" max="7" width="30.42578125" bestFit="1" customWidth="1"/>
    <col min="8" max="8" width="13.5703125" bestFit="1" customWidth="1"/>
    <col min="9" max="9" width="4.85546875" bestFit="1" customWidth="1"/>
    <col min="10" max="10" width="7.5703125" bestFit="1" customWidth="1"/>
    <col min="11" max="11" width="7.42578125" customWidth="1"/>
    <col min="12" max="12" width="12.5703125" bestFit="1" customWidth="1"/>
    <col min="13" max="13" width="31.85546875" style="17" bestFit="1" customWidth="1"/>
    <col min="31" max="40" width="9.28515625" style="19"/>
  </cols>
  <sheetData>
    <row r="1" spans="1:86" s="8" customFormat="1" ht="29.1" customHeight="1">
      <c r="A1" s="261" t="s">
        <v>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s="83" customFormat="1" ht="30">
      <c r="A2" s="79" t="s">
        <v>1</v>
      </c>
      <c r="B2" s="80" t="s">
        <v>3</v>
      </c>
      <c r="C2" s="81" t="s">
        <v>920</v>
      </c>
      <c r="D2" s="82" t="s">
        <v>1288</v>
      </c>
      <c r="E2" s="82" t="s">
        <v>1289</v>
      </c>
      <c r="F2" s="83" t="s">
        <v>2</v>
      </c>
      <c r="G2" s="83" t="s">
        <v>6</v>
      </c>
      <c r="H2" s="83" t="s">
        <v>7</v>
      </c>
      <c r="I2" s="80" t="s">
        <v>8</v>
      </c>
      <c r="J2" s="80" t="s">
        <v>786</v>
      </c>
      <c r="K2" s="80" t="s">
        <v>9</v>
      </c>
      <c r="L2" s="80" t="s">
        <v>1290</v>
      </c>
      <c r="M2" s="83" t="s">
        <v>11</v>
      </c>
      <c r="N2" s="84"/>
      <c r="O2" s="84"/>
      <c r="P2" s="85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</row>
    <row r="3" spans="1:86" s="9" customFormat="1" ht="13.5">
      <c r="A3" s="71" t="s">
        <v>90</v>
      </c>
      <c r="B3" s="38"/>
      <c r="C3" s="54" t="s">
        <v>929</v>
      </c>
      <c r="D3" s="50">
        <v>300000</v>
      </c>
      <c r="E3" s="50">
        <v>3000005</v>
      </c>
      <c r="F3" s="37" t="s">
        <v>930</v>
      </c>
      <c r="G3" s="32" t="s">
        <v>931</v>
      </c>
      <c r="H3" s="35" t="s">
        <v>17</v>
      </c>
      <c r="I3" s="36" t="s">
        <v>18</v>
      </c>
      <c r="J3" s="36">
        <v>54455</v>
      </c>
      <c r="K3" s="34">
        <v>14334</v>
      </c>
      <c r="L3" s="34" t="s">
        <v>932</v>
      </c>
      <c r="M3" s="68" t="s">
        <v>1291</v>
      </c>
      <c r="N3" s="10"/>
      <c r="O3" s="10"/>
      <c r="P3" s="11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</row>
    <row r="4" spans="1:86" s="9" customFormat="1" ht="13.5">
      <c r="A4" s="72" t="s">
        <v>978</v>
      </c>
      <c r="B4" s="15"/>
      <c r="C4" s="58" t="s">
        <v>1002</v>
      </c>
      <c r="D4" s="15">
        <v>300000</v>
      </c>
      <c r="E4" s="15">
        <v>3000007</v>
      </c>
      <c r="F4" s="13" t="s">
        <v>1003</v>
      </c>
      <c r="G4" s="13" t="s">
        <v>1004</v>
      </c>
      <c r="H4" s="2" t="s">
        <v>1005</v>
      </c>
      <c r="I4" s="3" t="s">
        <v>18</v>
      </c>
      <c r="J4" s="3">
        <v>53555</v>
      </c>
      <c r="K4" s="14">
        <v>17055</v>
      </c>
      <c r="L4" s="14" t="s">
        <v>1006</v>
      </c>
      <c r="M4" s="26" t="s">
        <v>1312</v>
      </c>
      <c r="N4" s="10"/>
      <c r="O4" s="10"/>
      <c r="P4" s="11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</row>
    <row r="5" spans="1:86" s="9" customFormat="1" ht="13.5">
      <c r="A5" s="72" t="s">
        <v>935</v>
      </c>
      <c r="B5" s="15"/>
      <c r="C5" s="58" t="s">
        <v>936</v>
      </c>
      <c r="D5" s="15">
        <v>500000</v>
      </c>
      <c r="E5" s="15">
        <v>5000005</v>
      </c>
      <c r="F5" s="13" t="s">
        <v>937</v>
      </c>
      <c r="G5" s="13" t="s">
        <v>938</v>
      </c>
      <c r="H5" s="4" t="s">
        <v>939</v>
      </c>
      <c r="I5" s="3" t="s">
        <v>18</v>
      </c>
      <c r="J5" s="3">
        <v>54456</v>
      </c>
      <c r="K5" s="14">
        <v>15317</v>
      </c>
      <c r="L5" s="14" t="s">
        <v>940</v>
      </c>
      <c r="M5" s="26" t="s">
        <v>1292</v>
      </c>
      <c r="N5" s="10"/>
      <c r="O5" s="10"/>
      <c r="P5" s="11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</row>
    <row r="6" spans="1:86" s="9" customFormat="1" ht="13.5">
      <c r="A6" s="72" t="s">
        <v>942</v>
      </c>
      <c r="B6" s="15"/>
      <c r="C6" s="57" t="s">
        <v>943</v>
      </c>
      <c r="D6" s="25">
        <v>500000</v>
      </c>
      <c r="E6" s="25">
        <v>5000007</v>
      </c>
      <c r="F6" s="13" t="s">
        <v>944</v>
      </c>
      <c r="G6" s="13" t="s">
        <v>945</v>
      </c>
      <c r="H6" s="13" t="s">
        <v>205</v>
      </c>
      <c r="I6" s="15" t="s">
        <v>18</v>
      </c>
      <c r="J6" s="15">
        <v>54742</v>
      </c>
      <c r="K6" s="14">
        <v>15318</v>
      </c>
      <c r="L6" s="14" t="s">
        <v>946</v>
      </c>
      <c r="M6" s="26" t="s">
        <v>1293</v>
      </c>
      <c r="N6" s="10"/>
      <c r="O6" s="10"/>
      <c r="P6" s="11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</row>
    <row r="7" spans="1:86" s="13" customFormat="1">
      <c r="A7" s="73"/>
      <c r="B7" s="40"/>
      <c r="C7" s="56"/>
      <c r="D7" s="40"/>
      <c r="E7" s="40"/>
      <c r="F7" s="41"/>
      <c r="G7" s="41"/>
      <c r="H7" s="41"/>
      <c r="I7" s="39"/>
      <c r="J7" s="39"/>
      <c r="K7" s="42"/>
      <c r="L7" s="43"/>
      <c r="M7" s="44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86" s="13" customFormat="1" ht="13.5">
      <c r="A8" s="71" t="s">
        <v>965</v>
      </c>
      <c r="B8" s="38"/>
      <c r="C8" s="54" t="s">
        <v>966</v>
      </c>
      <c r="D8" s="50">
        <v>9029173</v>
      </c>
      <c r="E8" s="50"/>
      <c r="F8" s="37" t="s">
        <v>967</v>
      </c>
      <c r="G8" s="32" t="s">
        <v>968</v>
      </c>
      <c r="H8" s="35" t="s">
        <v>116</v>
      </c>
      <c r="I8" s="36" t="s">
        <v>18</v>
      </c>
      <c r="J8" s="36">
        <v>54476</v>
      </c>
      <c r="K8" s="34">
        <v>14339</v>
      </c>
      <c r="L8" s="34" t="s">
        <v>969</v>
      </c>
      <c r="M8" s="49" t="s">
        <v>970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pans="1:86" s="13" customFormat="1" ht="27">
      <c r="A9" s="70" t="s">
        <v>1307</v>
      </c>
      <c r="B9" s="15"/>
      <c r="C9" s="58" t="s">
        <v>988</v>
      </c>
      <c r="D9" s="15">
        <v>900000</v>
      </c>
      <c r="E9" s="15"/>
      <c r="F9" s="13" t="s">
        <v>989</v>
      </c>
      <c r="G9" s="13" t="s">
        <v>990</v>
      </c>
      <c r="H9" s="6" t="s">
        <v>991</v>
      </c>
      <c r="I9" s="7" t="s">
        <v>992</v>
      </c>
      <c r="J9" s="7">
        <v>61201</v>
      </c>
      <c r="K9" s="15">
        <v>14370</v>
      </c>
      <c r="L9" s="15" t="s">
        <v>993</v>
      </c>
      <c r="M9" s="88" t="s">
        <v>1308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pans="1:86" s="1" customFormat="1">
      <c r="A10" s="73"/>
      <c r="B10" s="40"/>
      <c r="C10" s="56"/>
      <c r="D10" s="40"/>
      <c r="E10" s="40"/>
      <c r="F10" s="41"/>
      <c r="G10" s="41"/>
      <c r="H10" s="41"/>
      <c r="I10" s="39"/>
      <c r="J10" s="39"/>
      <c r="K10" s="42"/>
      <c r="L10" s="43"/>
      <c r="M10" s="44"/>
      <c r="AD10" s="20"/>
      <c r="AE10" s="20"/>
      <c r="AF10" s="20"/>
      <c r="AG10" s="20"/>
      <c r="AH10" s="20"/>
      <c r="AI10" s="20"/>
      <c r="AJ10" s="20"/>
      <c r="AK10" s="20"/>
      <c r="AL10" s="20"/>
      <c r="AM10" s="20"/>
    </row>
    <row r="11" spans="1:86" s="13" customFormat="1" ht="13.5">
      <c r="A11" s="71" t="s">
        <v>1309</v>
      </c>
      <c r="B11" s="31"/>
      <c r="C11" s="54" t="s">
        <v>979</v>
      </c>
      <c r="D11" s="53">
        <v>9029173</v>
      </c>
      <c r="E11" s="53"/>
      <c r="F11" s="37" t="s">
        <v>14</v>
      </c>
      <c r="G11" s="32" t="s">
        <v>1310</v>
      </c>
      <c r="H11" s="32" t="s">
        <v>17</v>
      </c>
      <c r="I11" s="33" t="s">
        <v>18</v>
      </c>
      <c r="J11" s="33">
        <v>54455</v>
      </c>
      <c r="K11" s="34">
        <v>13325</v>
      </c>
      <c r="L11" s="34" t="s">
        <v>1311</v>
      </c>
      <c r="M11" s="49" t="s">
        <v>20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86" s="13" customFormat="1" ht="13.5">
      <c r="A12" s="73"/>
      <c r="B12" s="39"/>
      <c r="C12" s="59"/>
      <c r="D12" s="39"/>
      <c r="E12" s="39"/>
      <c r="F12" s="41"/>
      <c r="G12" s="41"/>
      <c r="H12" s="45"/>
      <c r="I12" s="46"/>
      <c r="J12" s="46"/>
      <c r="K12" s="43"/>
      <c r="L12" s="43"/>
      <c r="M12" s="44"/>
      <c r="AD12" s="22"/>
      <c r="AE12" s="22"/>
      <c r="AF12" s="22"/>
      <c r="AG12" s="22"/>
      <c r="AH12" s="22"/>
      <c r="AI12" s="22"/>
      <c r="AJ12" s="22"/>
      <c r="AK12" s="22"/>
      <c r="AL12" s="22"/>
      <c r="AM12" s="22"/>
    </row>
    <row r="13" spans="1:86" s="13" customFormat="1" ht="13.5">
      <c r="A13" s="74" t="s">
        <v>995</v>
      </c>
      <c r="B13" s="31"/>
      <c r="C13" s="54" t="s">
        <v>996</v>
      </c>
      <c r="D13" s="50">
        <v>500000</v>
      </c>
      <c r="E13" s="50">
        <v>5000008</v>
      </c>
      <c r="F13" s="65" t="s">
        <v>997</v>
      </c>
      <c r="G13" s="32" t="s">
        <v>1420</v>
      </c>
      <c r="H13" s="32" t="s">
        <v>1421</v>
      </c>
      <c r="I13" s="33" t="s">
        <v>18</v>
      </c>
      <c r="J13" s="33">
        <v>54666</v>
      </c>
      <c r="K13" s="34">
        <v>15249</v>
      </c>
      <c r="L13" s="34" t="s">
        <v>1000</v>
      </c>
      <c r="M13" s="49" t="s">
        <v>1001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86" s="13" customFormat="1" ht="13.5">
      <c r="A14" s="75" t="s">
        <v>126</v>
      </c>
      <c r="B14" s="28" t="s">
        <v>1008</v>
      </c>
      <c r="C14" s="55" t="s">
        <v>1313</v>
      </c>
      <c r="D14" s="51">
        <v>300000</v>
      </c>
      <c r="E14" s="51">
        <v>3000006</v>
      </c>
      <c r="F14" s="29" t="s">
        <v>1314</v>
      </c>
      <c r="G14" s="13" t="s">
        <v>1315</v>
      </c>
      <c r="H14" s="13" t="s">
        <v>99</v>
      </c>
      <c r="I14" s="15" t="s">
        <v>18</v>
      </c>
      <c r="J14" s="15">
        <v>54401</v>
      </c>
      <c r="K14" s="14">
        <v>13353</v>
      </c>
      <c r="L14" s="14" t="s">
        <v>1316</v>
      </c>
      <c r="M14" s="26" t="s">
        <v>1317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86" s="13" customFormat="1" ht="13.5">
      <c r="A15" s="72" t="s">
        <v>147</v>
      </c>
      <c r="B15" s="15" t="s">
        <v>140</v>
      </c>
      <c r="C15" s="55"/>
      <c r="D15" s="51"/>
      <c r="E15" s="51"/>
      <c r="F15" s="13" t="s">
        <v>1246</v>
      </c>
      <c r="I15" s="15"/>
      <c r="J15" s="15"/>
      <c r="K15" s="14"/>
      <c r="L15" s="14"/>
      <c r="M15" s="26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86" s="13" customFormat="1" ht="13.5">
      <c r="A16" s="72" t="s">
        <v>147</v>
      </c>
      <c r="B16" s="15" t="s">
        <v>140</v>
      </c>
      <c r="C16" s="55" t="s">
        <v>1015</v>
      </c>
      <c r="D16" s="51">
        <v>300000</v>
      </c>
      <c r="E16" s="51">
        <v>3000009</v>
      </c>
      <c r="F16" s="13" t="s">
        <v>880</v>
      </c>
      <c r="G16" s="13" t="s">
        <v>1323</v>
      </c>
      <c r="H16" s="13" t="s">
        <v>99</v>
      </c>
      <c r="I16" s="15" t="s">
        <v>18</v>
      </c>
      <c r="J16" s="15">
        <v>54403</v>
      </c>
      <c r="K16" s="14">
        <v>13348</v>
      </c>
      <c r="L16" s="14" t="s">
        <v>1018</v>
      </c>
      <c r="M16" s="26" t="s">
        <v>1019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1:85" s="13" customFormat="1" ht="13.5">
      <c r="A17" s="72" t="s">
        <v>147</v>
      </c>
      <c r="B17" s="15" t="s">
        <v>140</v>
      </c>
      <c r="C17" s="58" t="s">
        <v>1324</v>
      </c>
      <c r="D17" s="15">
        <v>900000</v>
      </c>
      <c r="E17" s="15"/>
      <c r="F17" s="13" t="s">
        <v>1326</v>
      </c>
      <c r="G17" s="13" t="s">
        <v>1327</v>
      </c>
      <c r="H17" s="4" t="s">
        <v>1328</v>
      </c>
      <c r="I17" s="24" t="s">
        <v>43</v>
      </c>
      <c r="J17" s="24">
        <v>49285</v>
      </c>
      <c r="K17" s="14">
        <v>25059</v>
      </c>
      <c r="L17" s="14" t="s">
        <v>231</v>
      </c>
      <c r="M17" s="26" t="s">
        <v>1329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85" s="13" customFormat="1" ht="13.5">
      <c r="A18" s="72" t="s">
        <v>147</v>
      </c>
      <c r="B18" s="15" t="s">
        <v>140</v>
      </c>
      <c r="C18" s="57"/>
      <c r="D18" s="25"/>
      <c r="E18" s="25"/>
      <c r="F18" s="13" t="s">
        <v>1246</v>
      </c>
      <c r="I18" s="15"/>
      <c r="J18" s="14"/>
      <c r="K18" s="14"/>
      <c r="L18" s="14"/>
      <c r="M18" s="26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85" s="13" customFormat="1" ht="13.5">
      <c r="A19" s="72" t="s">
        <v>147</v>
      </c>
      <c r="B19" s="15" t="s">
        <v>140</v>
      </c>
      <c r="C19" s="55" t="s">
        <v>1335</v>
      </c>
      <c r="D19" s="51">
        <v>300000</v>
      </c>
      <c r="E19" s="51">
        <v>3000008</v>
      </c>
      <c r="F19" s="13" t="s">
        <v>1336</v>
      </c>
      <c r="G19" s="13" t="s">
        <v>1337</v>
      </c>
      <c r="H19" s="13" t="s">
        <v>1338</v>
      </c>
      <c r="I19" s="15" t="s">
        <v>18</v>
      </c>
      <c r="J19" s="15">
        <v>53227</v>
      </c>
      <c r="K19" s="14">
        <v>12450</v>
      </c>
      <c r="L19" s="14" t="s">
        <v>1339</v>
      </c>
      <c r="M19" s="26" t="s">
        <v>1340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85" s="5" customFormat="1" ht="14.25" thickBot="1">
      <c r="A20" s="72" t="s">
        <v>147</v>
      </c>
      <c r="B20" s="15" t="s">
        <v>140</v>
      </c>
      <c r="C20" s="58" t="s">
        <v>1021</v>
      </c>
      <c r="D20" s="15">
        <v>300000</v>
      </c>
      <c r="E20" s="15">
        <v>3000002</v>
      </c>
      <c r="F20" s="13" t="s">
        <v>187</v>
      </c>
      <c r="G20" s="13" t="s">
        <v>1022</v>
      </c>
      <c r="H20" s="4" t="s">
        <v>190</v>
      </c>
      <c r="I20" s="3" t="s">
        <v>43</v>
      </c>
      <c r="J20" s="3">
        <v>49866</v>
      </c>
      <c r="K20" s="14">
        <v>13374</v>
      </c>
      <c r="L20" s="14" t="s">
        <v>191</v>
      </c>
      <c r="M20" s="26" t="s">
        <v>1341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</row>
    <row r="21" spans="1:85" s="12" customFormat="1" ht="13.5">
      <c r="A21" s="72" t="s">
        <v>147</v>
      </c>
      <c r="B21" s="15" t="s">
        <v>140</v>
      </c>
      <c r="C21" s="58" t="s">
        <v>1342</v>
      </c>
      <c r="D21" s="15">
        <v>300000</v>
      </c>
      <c r="E21" s="15">
        <v>3000001</v>
      </c>
      <c r="F21" s="13" t="s">
        <v>1343</v>
      </c>
      <c r="G21" s="13" t="s">
        <v>1422</v>
      </c>
      <c r="H21" s="4" t="s">
        <v>1345</v>
      </c>
      <c r="I21" s="3" t="s">
        <v>18</v>
      </c>
      <c r="J21" s="3">
        <v>54114</v>
      </c>
      <c r="K21" s="14">
        <v>13361</v>
      </c>
      <c r="L21" s="14" t="s">
        <v>1346</v>
      </c>
      <c r="M21" s="26" t="s">
        <v>1423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spans="1:85" s="13" customFormat="1" ht="13.5">
      <c r="A22" s="75" t="s">
        <v>126</v>
      </c>
      <c r="B22" s="28" t="s">
        <v>1039</v>
      </c>
      <c r="C22" s="55" t="s">
        <v>1040</v>
      </c>
      <c r="D22" s="51">
        <v>1100000</v>
      </c>
      <c r="E22" s="51"/>
      <c r="F22" s="29" t="s">
        <v>1041</v>
      </c>
      <c r="G22" s="13" t="s">
        <v>1042</v>
      </c>
      <c r="H22" s="13" t="s">
        <v>1043</v>
      </c>
      <c r="I22" s="15" t="s">
        <v>294</v>
      </c>
      <c r="J22" s="15">
        <v>52040</v>
      </c>
      <c r="K22" s="14">
        <v>25070</v>
      </c>
      <c r="L22" s="14" t="s">
        <v>1044</v>
      </c>
      <c r="M22" s="26" t="s">
        <v>1045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85" s="13" customFormat="1" ht="13.5">
      <c r="A23" s="72" t="s">
        <v>1164</v>
      </c>
      <c r="B23" s="15" t="s">
        <v>219</v>
      </c>
      <c r="C23" s="57"/>
      <c r="D23" s="25"/>
      <c r="E23" s="25"/>
      <c r="F23" s="13" t="s">
        <v>1246</v>
      </c>
      <c r="H23" s="4"/>
      <c r="I23" s="3"/>
      <c r="J23" s="3"/>
      <c r="K23" s="14"/>
      <c r="L23" s="14"/>
      <c r="M23" s="26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85" s="5" customFormat="1" ht="14.25" thickBot="1">
      <c r="A24" s="72" t="s">
        <v>147</v>
      </c>
      <c r="B24" s="15" t="s">
        <v>219</v>
      </c>
      <c r="C24" s="58" t="s">
        <v>1185</v>
      </c>
      <c r="D24" s="15">
        <v>600000</v>
      </c>
      <c r="E24" s="15">
        <v>616558</v>
      </c>
      <c r="F24" s="13" t="s">
        <v>891</v>
      </c>
      <c r="G24" s="13" t="s">
        <v>1348</v>
      </c>
      <c r="H24" s="4" t="s">
        <v>1349</v>
      </c>
      <c r="I24" s="3" t="s">
        <v>73</v>
      </c>
      <c r="J24" s="3">
        <v>55024</v>
      </c>
      <c r="K24" s="14">
        <v>16514</v>
      </c>
      <c r="L24" s="14" t="s">
        <v>449</v>
      </c>
      <c r="M24" s="26" t="s">
        <v>1188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</row>
    <row r="25" spans="1:85" s="13" customFormat="1" ht="13.5">
      <c r="A25" s="72" t="s">
        <v>147</v>
      </c>
      <c r="B25" s="15" t="s">
        <v>219</v>
      </c>
      <c r="C25" s="58" t="s">
        <v>1047</v>
      </c>
      <c r="D25" s="15">
        <v>1400000</v>
      </c>
      <c r="E25" s="15"/>
      <c r="F25" s="13" t="s">
        <v>892</v>
      </c>
      <c r="G25" s="13" t="s">
        <v>1048</v>
      </c>
      <c r="H25" s="4" t="s">
        <v>324</v>
      </c>
      <c r="I25" s="3" t="s">
        <v>259</v>
      </c>
      <c r="J25" s="3">
        <v>57034</v>
      </c>
      <c r="K25" s="14">
        <v>14312</v>
      </c>
      <c r="L25" s="14" t="s">
        <v>1049</v>
      </c>
      <c r="M25" s="26" t="s">
        <v>1050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85" s="13" customFormat="1" ht="17.25">
      <c r="A26" s="72" t="s">
        <v>147</v>
      </c>
      <c r="B26" s="15" t="s">
        <v>219</v>
      </c>
      <c r="C26" s="58" t="s">
        <v>1350</v>
      </c>
      <c r="D26" s="15">
        <v>1100000</v>
      </c>
      <c r="E26" s="15"/>
      <c r="F26" s="13" t="s">
        <v>1351</v>
      </c>
      <c r="G26" s="13" t="s">
        <v>1424</v>
      </c>
      <c r="H26" s="4" t="s">
        <v>1353</v>
      </c>
      <c r="I26" s="3" t="s">
        <v>294</v>
      </c>
      <c r="J26" s="3">
        <v>52748</v>
      </c>
      <c r="K26" s="14">
        <v>25051</v>
      </c>
      <c r="L26" s="14" t="s">
        <v>1354</v>
      </c>
      <c r="M26" s="26" t="s">
        <v>1355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85" s="13" customFormat="1" ht="13.5">
      <c r="A27" s="72" t="s">
        <v>147</v>
      </c>
      <c r="B27" s="15" t="s">
        <v>219</v>
      </c>
      <c r="C27" s="58" t="s">
        <v>1070</v>
      </c>
      <c r="D27" s="15">
        <v>1200000</v>
      </c>
      <c r="E27" s="15"/>
      <c r="F27" s="13" t="s">
        <v>900</v>
      </c>
      <c r="G27" s="13" t="s">
        <v>1071</v>
      </c>
      <c r="H27" s="6" t="s">
        <v>1072</v>
      </c>
      <c r="I27" s="7" t="s">
        <v>294</v>
      </c>
      <c r="J27" s="7">
        <v>50211</v>
      </c>
      <c r="K27" s="14">
        <v>25052</v>
      </c>
      <c r="L27" s="14" t="s">
        <v>1073</v>
      </c>
      <c r="M27" s="26" t="s">
        <v>1074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85" s="13" customFormat="1" ht="13.5">
      <c r="A28" s="72" t="s">
        <v>147</v>
      </c>
      <c r="B28" s="15" t="s">
        <v>219</v>
      </c>
      <c r="C28" s="58" t="s">
        <v>1075</v>
      </c>
      <c r="D28" s="15">
        <v>500000</v>
      </c>
      <c r="E28" s="15">
        <v>5000004</v>
      </c>
      <c r="F28" s="13" t="s">
        <v>919</v>
      </c>
      <c r="G28" s="13" t="s">
        <v>1076</v>
      </c>
      <c r="H28" s="6" t="s">
        <v>1077</v>
      </c>
      <c r="I28" s="7" t="s">
        <v>18</v>
      </c>
      <c r="J28" s="7">
        <v>54615</v>
      </c>
      <c r="K28" s="14">
        <v>15232</v>
      </c>
      <c r="L28" s="14" t="s">
        <v>1078</v>
      </c>
      <c r="M28" s="26" t="s">
        <v>1079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85" s="13" customFormat="1" ht="13.5">
      <c r="A29" s="72" t="s">
        <v>147</v>
      </c>
      <c r="B29" s="15" t="s">
        <v>219</v>
      </c>
      <c r="C29" s="58" t="s">
        <v>1081</v>
      </c>
      <c r="D29" s="15">
        <v>1100000</v>
      </c>
      <c r="E29" s="15"/>
      <c r="F29" s="13" t="s">
        <v>1082</v>
      </c>
      <c r="G29" s="13" t="s">
        <v>1356</v>
      </c>
      <c r="H29" s="4" t="s">
        <v>1084</v>
      </c>
      <c r="I29" s="3" t="s">
        <v>294</v>
      </c>
      <c r="J29" s="3">
        <v>52002</v>
      </c>
      <c r="K29" s="14">
        <v>19378</v>
      </c>
      <c r="L29" s="14" t="s">
        <v>1085</v>
      </c>
      <c r="M29" s="26" t="s">
        <v>1086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85" s="1" customFormat="1" ht="13.5">
      <c r="A30" s="72" t="s">
        <v>981</v>
      </c>
      <c r="B30" s="27"/>
      <c r="C30" s="57" t="s">
        <v>982</v>
      </c>
      <c r="D30" s="25">
        <v>110000</v>
      </c>
      <c r="E30" s="25"/>
      <c r="F30" s="13" t="s">
        <v>983</v>
      </c>
      <c r="G30" s="13" t="s">
        <v>984</v>
      </c>
      <c r="H30" s="4" t="s">
        <v>985</v>
      </c>
      <c r="I30" s="3" t="s">
        <v>294</v>
      </c>
      <c r="J30" s="3">
        <v>50401</v>
      </c>
      <c r="K30" s="14">
        <v>14372</v>
      </c>
      <c r="L30" s="14" t="s">
        <v>986</v>
      </c>
      <c r="M30" s="26" t="s">
        <v>1357</v>
      </c>
      <c r="N30" s="15"/>
    </row>
    <row r="31" spans="1:85" s="13" customFormat="1" ht="13.5">
      <c r="A31" s="75" t="s">
        <v>126</v>
      </c>
      <c r="B31" s="28" t="s">
        <v>1087</v>
      </c>
      <c r="C31" s="61" t="s">
        <v>1088</v>
      </c>
      <c r="D31" s="52">
        <v>1500000</v>
      </c>
      <c r="E31" s="52"/>
      <c r="F31" s="29" t="s">
        <v>334</v>
      </c>
      <c r="G31" s="13" t="s">
        <v>336</v>
      </c>
      <c r="H31" s="4" t="s">
        <v>337</v>
      </c>
      <c r="I31" s="3" t="s">
        <v>32</v>
      </c>
      <c r="J31" s="3">
        <v>67215</v>
      </c>
      <c r="K31" s="14">
        <v>25053</v>
      </c>
      <c r="L31" s="14" t="s">
        <v>338</v>
      </c>
      <c r="M31" s="26" t="s">
        <v>1358</v>
      </c>
      <c r="N31" s="15"/>
    </row>
    <row r="32" spans="1:85" s="12" customFormat="1">
      <c r="A32" s="72" t="s">
        <v>147</v>
      </c>
      <c r="B32" s="15" t="s">
        <v>345</v>
      </c>
      <c r="C32" s="58" t="s">
        <v>1089</v>
      </c>
      <c r="D32" s="15">
        <v>1500000</v>
      </c>
      <c r="E32" s="15"/>
      <c r="F32" s="13" t="s">
        <v>340</v>
      </c>
      <c r="G32" t="s">
        <v>342</v>
      </c>
      <c r="H32" s="13" t="s">
        <v>337</v>
      </c>
      <c r="I32" s="15" t="s">
        <v>32</v>
      </c>
      <c r="J32" s="15">
        <v>67212</v>
      </c>
      <c r="K32" s="14">
        <v>13367</v>
      </c>
      <c r="L32" s="14" t="s">
        <v>343</v>
      </c>
      <c r="M32" s="26" t="s">
        <v>344</v>
      </c>
      <c r="AD32" s="21"/>
      <c r="AE32" s="21"/>
      <c r="AF32" s="21"/>
      <c r="AG32" s="21"/>
      <c r="AH32" s="21"/>
      <c r="AI32" s="21"/>
      <c r="AJ32" s="21"/>
      <c r="AK32" s="21"/>
      <c r="AL32" s="21"/>
      <c r="AM32" s="21"/>
    </row>
    <row r="33" spans="1:85" s="13" customFormat="1" ht="13.5">
      <c r="A33" s="72" t="s">
        <v>147</v>
      </c>
      <c r="B33" s="15" t="s">
        <v>345</v>
      </c>
      <c r="C33" s="58" t="s">
        <v>1425</v>
      </c>
      <c r="D33" s="15">
        <v>1500000</v>
      </c>
      <c r="E33" s="15"/>
      <c r="F33" s="13" t="s">
        <v>1426</v>
      </c>
      <c r="G33" s="13" t="s">
        <v>1427</v>
      </c>
      <c r="H33" s="4" t="s">
        <v>1428</v>
      </c>
      <c r="I33" s="3" t="s">
        <v>373</v>
      </c>
      <c r="J33" s="3">
        <v>65738</v>
      </c>
      <c r="K33" s="14">
        <v>13368</v>
      </c>
      <c r="L33" s="25" t="s">
        <v>380</v>
      </c>
      <c r="M33" s="26" t="s">
        <v>1429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85" s="13" customFormat="1" ht="13.5">
      <c r="A34" s="72" t="s">
        <v>147</v>
      </c>
      <c r="B34" s="15" t="s">
        <v>345</v>
      </c>
      <c r="C34" s="58" t="s">
        <v>1090</v>
      </c>
      <c r="D34" s="15">
        <v>1200000</v>
      </c>
      <c r="E34" s="15"/>
      <c r="F34" s="13" t="s">
        <v>883</v>
      </c>
      <c r="G34" s="13" t="s">
        <v>1091</v>
      </c>
      <c r="H34" s="4" t="s">
        <v>1092</v>
      </c>
      <c r="I34" s="3" t="s">
        <v>50</v>
      </c>
      <c r="J34" s="3">
        <v>68046</v>
      </c>
      <c r="K34" s="14">
        <v>14336</v>
      </c>
      <c r="L34" s="14" t="s">
        <v>1093</v>
      </c>
      <c r="M34" s="26" t="s">
        <v>1094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85" s="13" customFormat="1" ht="13.5">
      <c r="A35" s="72" t="s">
        <v>147</v>
      </c>
      <c r="B35" s="15" t="s">
        <v>345</v>
      </c>
      <c r="C35" s="58" t="s">
        <v>1096</v>
      </c>
      <c r="D35" s="15">
        <v>1500000</v>
      </c>
      <c r="E35" s="15"/>
      <c r="F35" s="13" t="s">
        <v>888</v>
      </c>
      <c r="G35" s="13" t="s">
        <v>1097</v>
      </c>
      <c r="H35" s="4" t="s">
        <v>1098</v>
      </c>
      <c r="I35" s="3" t="s">
        <v>373</v>
      </c>
      <c r="J35" s="3">
        <v>64015</v>
      </c>
      <c r="K35" s="14">
        <v>25050</v>
      </c>
      <c r="L35" s="14" t="s">
        <v>1099</v>
      </c>
      <c r="M35" s="26" t="s">
        <v>1100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85" s="13" customFormat="1" ht="13.5">
      <c r="A36" s="72" t="s">
        <v>147</v>
      </c>
      <c r="B36" s="15" t="s">
        <v>345</v>
      </c>
      <c r="C36" s="58" t="s">
        <v>1430</v>
      </c>
      <c r="D36" s="15">
        <v>1500000</v>
      </c>
      <c r="E36" s="15"/>
      <c r="F36" s="13" t="s">
        <v>1431</v>
      </c>
      <c r="G36" s="13" t="s">
        <v>1432</v>
      </c>
      <c r="H36" s="4" t="s">
        <v>1433</v>
      </c>
      <c r="I36" s="3" t="s">
        <v>1109</v>
      </c>
      <c r="J36" s="3">
        <v>74053</v>
      </c>
      <c r="K36" s="14">
        <v>25058</v>
      </c>
      <c r="L36" s="14" t="s">
        <v>1168</v>
      </c>
      <c r="M36" s="26" t="s">
        <v>1434</v>
      </c>
      <c r="N36" s="15"/>
    </row>
    <row r="37" spans="1:85" s="13" customFormat="1" ht="13.5">
      <c r="A37" s="72" t="s">
        <v>1164</v>
      </c>
      <c r="B37" s="15" t="s">
        <v>345</v>
      </c>
      <c r="C37" s="58"/>
      <c r="D37" s="15"/>
      <c r="E37" s="15"/>
      <c r="F37" s="13" t="s">
        <v>1246</v>
      </c>
      <c r="I37" s="15"/>
      <c r="J37" s="15"/>
      <c r="K37" s="14"/>
      <c r="L37" s="14"/>
      <c r="M37" s="26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85" s="13" customFormat="1" ht="13.5">
      <c r="A38" s="75" t="s">
        <v>126</v>
      </c>
      <c r="B38" s="28" t="s">
        <v>1126</v>
      </c>
      <c r="C38" s="58" t="s">
        <v>1127</v>
      </c>
      <c r="D38" s="15">
        <v>1300000</v>
      </c>
      <c r="E38" s="15"/>
      <c r="F38" s="29" t="s">
        <v>1128</v>
      </c>
      <c r="G38" s="13" t="s">
        <v>1129</v>
      </c>
      <c r="H38" s="4" t="s">
        <v>1130</v>
      </c>
      <c r="I38" s="24" t="s">
        <v>131</v>
      </c>
      <c r="J38" s="24">
        <v>62629</v>
      </c>
      <c r="K38" s="14">
        <v>25057</v>
      </c>
      <c r="L38" s="14" t="s">
        <v>100</v>
      </c>
      <c r="M38" s="26" t="s">
        <v>1359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85" s="12" customFormat="1" ht="13.5">
      <c r="A39" s="72" t="s">
        <v>1164</v>
      </c>
      <c r="B39" s="15" t="s">
        <v>625</v>
      </c>
      <c r="C39" s="58" t="s">
        <v>1165</v>
      </c>
      <c r="D39" s="15">
        <v>1300000</v>
      </c>
      <c r="E39" s="15"/>
      <c r="F39" s="13" t="s">
        <v>1166</v>
      </c>
      <c r="G39" s="13" t="s">
        <v>1167</v>
      </c>
      <c r="H39" s="4" t="s">
        <v>1130</v>
      </c>
      <c r="I39" s="24" t="s">
        <v>131</v>
      </c>
      <c r="J39" s="24">
        <v>62629</v>
      </c>
      <c r="K39" s="14">
        <v>14347</v>
      </c>
      <c r="L39" s="14" t="s">
        <v>1168</v>
      </c>
      <c r="M39" s="26" t="s">
        <v>1169</v>
      </c>
      <c r="N39" s="15"/>
      <c r="P39" s="13"/>
    </row>
    <row r="40" spans="1:85" s="12" customFormat="1" ht="13.5">
      <c r="A40" s="72" t="s">
        <v>147</v>
      </c>
      <c r="B40" s="15" t="s">
        <v>625</v>
      </c>
      <c r="C40" s="58" t="s">
        <v>1361</v>
      </c>
      <c r="D40" s="15">
        <v>900000</v>
      </c>
      <c r="E40" s="15"/>
      <c r="F40" s="13" t="s">
        <v>1362</v>
      </c>
      <c r="G40" s="13" t="s">
        <v>1363</v>
      </c>
      <c r="H40" s="4" t="s">
        <v>1364</v>
      </c>
      <c r="I40" s="3" t="s">
        <v>131</v>
      </c>
      <c r="J40" s="3">
        <v>60448</v>
      </c>
      <c r="K40" s="14">
        <v>19379</v>
      </c>
      <c r="L40" s="14" t="s">
        <v>1365</v>
      </c>
      <c r="M40" s="26" t="s">
        <v>1435</v>
      </c>
      <c r="N40" s="15"/>
      <c r="P40" s="13"/>
    </row>
    <row r="41" spans="1:85" s="12" customFormat="1" ht="13.5">
      <c r="A41" s="72" t="s">
        <v>1158</v>
      </c>
      <c r="B41" s="15" t="s">
        <v>625</v>
      </c>
      <c r="C41" s="58" t="s">
        <v>1160</v>
      </c>
      <c r="D41" s="15">
        <v>335375</v>
      </c>
      <c r="E41" s="15"/>
      <c r="F41" s="13" t="s">
        <v>916</v>
      </c>
      <c r="G41" s="13" t="s">
        <v>1161</v>
      </c>
      <c r="H41" s="4" t="s">
        <v>177</v>
      </c>
      <c r="I41" s="3" t="s">
        <v>131</v>
      </c>
      <c r="J41" s="3">
        <v>60513</v>
      </c>
      <c r="K41" s="14">
        <v>25062</v>
      </c>
      <c r="L41" s="14" t="s">
        <v>1162</v>
      </c>
      <c r="M41" s="26" t="s">
        <v>1163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</row>
    <row r="42" spans="1:85" s="1" customFormat="1" ht="13.5">
      <c r="A42" s="72" t="s">
        <v>147</v>
      </c>
      <c r="B42" s="15" t="s">
        <v>625</v>
      </c>
      <c r="C42" s="58" t="s">
        <v>1436</v>
      </c>
      <c r="D42" s="15">
        <v>900000</v>
      </c>
      <c r="E42" s="15"/>
      <c r="F42" s="13" t="s">
        <v>1437</v>
      </c>
      <c r="G42" s="13" t="s">
        <v>1438</v>
      </c>
      <c r="H42" s="4" t="s">
        <v>1439</v>
      </c>
      <c r="I42" s="3" t="s">
        <v>131</v>
      </c>
      <c r="J42" s="3">
        <v>61115</v>
      </c>
      <c r="K42" s="14">
        <v>19381</v>
      </c>
      <c r="L42" s="14" t="s">
        <v>432</v>
      </c>
      <c r="M42" s="26" t="s">
        <v>1440</v>
      </c>
      <c r="N42" s="15"/>
    </row>
    <row r="43" spans="1:85" s="13" customFormat="1" ht="13.5">
      <c r="A43" s="72" t="s">
        <v>147</v>
      </c>
      <c r="B43" s="15" t="s">
        <v>625</v>
      </c>
      <c r="C43" s="58" t="s">
        <v>1137</v>
      </c>
      <c r="D43" s="15">
        <v>1300000</v>
      </c>
      <c r="E43" s="15"/>
      <c r="F43" s="13" t="s">
        <v>369</v>
      </c>
      <c r="G43" s="13" t="s">
        <v>1368</v>
      </c>
      <c r="H43" s="4" t="s">
        <v>1369</v>
      </c>
      <c r="I43" s="24" t="s">
        <v>373</v>
      </c>
      <c r="J43" s="24">
        <v>63366</v>
      </c>
      <c r="K43" s="14">
        <v>25061</v>
      </c>
      <c r="L43" s="14" t="s">
        <v>1140</v>
      </c>
      <c r="M43" s="26" t="s">
        <v>375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85" s="13" customFormat="1" ht="13.5">
      <c r="A44" s="72" t="s">
        <v>981</v>
      </c>
      <c r="B44" s="15" t="s">
        <v>625</v>
      </c>
      <c r="C44" s="57"/>
      <c r="D44" s="25"/>
      <c r="E44" s="25"/>
      <c r="F44" s="13" t="s">
        <v>1246</v>
      </c>
      <c r="H44" s="4"/>
      <c r="I44" s="3"/>
      <c r="J44" s="3"/>
      <c r="K44" s="14"/>
      <c r="L44" s="14"/>
      <c r="M44" s="26"/>
      <c r="AD44" s="22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85" s="12" customFormat="1" ht="13.5">
      <c r="A45" s="75" t="s">
        <v>126</v>
      </c>
      <c r="B45" s="28" t="s">
        <v>1170</v>
      </c>
      <c r="C45" s="58" t="s">
        <v>1171</v>
      </c>
      <c r="D45" s="15">
        <v>600000</v>
      </c>
      <c r="E45" s="15"/>
      <c r="F45" s="29" t="s">
        <v>1172</v>
      </c>
      <c r="G45" s="4" t="s">
        <v>1173</v>
      </c>
      <c r="H45" s="4" t="s">
        <v>1174</v>
      </c>
      <c r="I45" s="3" t="s">
        <v>73</v>
      </c>
      <c r="J45" s="3">
        <v>55387</v>
      </c>
      <c r="K45" s="13"/>
      <c r="L45" s="13" t="s">
        <v>1175</v>
      </c>
      <c r="M45" s="69" t="s">
        <v>1176</v>
      </c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 spans="1:85" s="12" customFormat="1" ht="13.5">
      <c r="A46" s="72" t="s">
        <v>147</v>
      </c>
      <c r="B46" s="15" t="s">
        <v>418</v>
      </c>
      <c r="C46" s="58" t="s">
        <v>1301</v>
      </c>
      <c r="D46" s="15">
        <v>600000</v>
      </c>
      <c r="E46" s="15">
        <v>616556</v>
      </c>
      <c r="F46" s="13" t="s">
        <v>1302</v>
      </c>
      <c r="G46" s="13" t="s">
        <v>1303</v>
      </c>
      <c r="H46" s="4" t="s">
        <v>1304</v>
      </c>
      <c r="I46" s="3" t="s">
        <v>73</v>
      </c>
      <c r="J46" s="3">
        <v>55009</v>
      </c>
      <c r="K46" s="14">
        <v>16521</v>
      </c>
      <c r="L46" s="14" t="s">
        <v>1305</v>
      </c>
      <c r="M46" s="26" t="s">
        <v>1306</v>
      </c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 spans="1:85" s="18" customFormat="1" ht="14.25" thickBot="1">
      <c r="A47" s="72" t="s">
        <v>147</v>
      </c>
      <c r="B47" s="15" t="s">
        <v>418</v>
      </c>
      <c r="C47" s="58" t="s">
        <v>1177</v>
      </c>
      <c r="D47" s="15">
        <v>600000</v>
      </c>
      <c r="E47" s="15">
        <v>5000003</v>
      </c>
      <c r="F47" s="13" t="s">
        <v>899</v>
      </c>
      <c r="G47" s="13" t="s">
        <v>1178</v>
      </c>
      <c r="H47" s="4" t="s">
        <v>1179</v>
      </c>
      <c r="I47" s="3" t="s">
        <v>73</v>
      </c>
      <c r="J47" s="3">
        <v>55379</v>
      </c>
      <c r="K47" s="14">
        <v>14373</v>
      </c>
      <c r="L47" s="14" t="s">
        <v>1180</v>
      </c>
      <c r="M47" s="26" t="s">
        <v>1181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</row>
    <row r="48" spans="1:85" s="12" customFormat="1" ht="13.5">
      <c r="A48" s="72" t="s">
        <v>147</v>
      </c>
      <c r="B48" s="15" t="s">
        <v>418</v>
      </c>
      <c r="C48" s="58" t="s">
        <v>1182</v>
      </c>
      <c r="D48" s="15">
        <v>1400000</v>
      </c>
      <c r="E48" s="15"/>
      <c r="F48" s="13" t="s">
        <v>410</v>
      </c>
      <c r="G48" s="13" t="s">
        <v>412</v>
      </c>
      <c r="H48" s="4" t="s">
        <v>413</v>
      </c>
      <c r="I48" s="3" t="s">
        <v>259</v>
      </c>
      <c r="J48" s="3">
        <v>57006</v>
      </c>
      <c r="K48" s="14">
        <v>23007</v>
      </c>
      <c r="L48" s="14" t="s">
        <v>414</v>
      </c>
      <c r="M48" s="26" t="s">
        <v>415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40" s="12" customFormat="1" ht="13.5">
      <c r="A49" s="72" t="s">
        <v>147</v>
      </c>
      <c r="B49" s="15" t="s">
        <v>418</v>
      </c>
      <c r="C49" s="58" t="s">
        <v>1183</v>
      </c>
      <c r="D49" s="15">
        <v>800000</v>
      </c>
      <c r="E49" s="15"/>
      <c r="F49" s="13" t="s">
        <v>428</v>
      </c>
      <c r="G49" s="13" t="s">
        <v>430</v>
      </c>
      <c r="H49" s="4" t="s">
        <v>431</v>
      </c>
      <c r="I49" s="3" t="s">
        <v>73</v>
      </c>
      <c r="J49" s="3">
        <v>56518</v>
      </c>
      <c r="K49" s="14">
        <v>16506</v>
      </c>
      <c r="L49" s="14" t="s">
        <v>432</v>
      </c>
      <c r="M49" s="26" t="s">
        <v>433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</row>
    <row r="50" spans="1:40" s="13" customFormat="1" ht="13.5">
      <c r="A50" s="72" t="s">
        <v>147</v>
      </c>
      <c r="B50" s="15" t="s">
        <v>418</v>
      </c>
      <c r="C50" s="58" t="s">
        <v>1190</v>
      </c>
      <c r="D50" s="58">
        <v>800000</v>
      </c>
      <c r="E50" s="58"/>
      <c r="F50" s="13" t="s">
        <v>914</v>
      </c>
      <c r="G50" s="13" t="s">
        <v>1191</v>
      </c>
      <c r="H50" s="4" t="s">
        <v>454</v>
      </c>
      <c r="I50" s="3" t="s">
        <v>73</v>
      </c>
      <c r="J50" s="3">
        <v>56501</v>
      </c>
      <c r="K50" s="14">
        <v>18018</v>
      </c>
      <c r="L50" s="14" t="s">
        <v>1192</v>
      </c>
      <c r="M50" s="26" t="s">
        <v>1441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40" s="12" customFormat="1" ht="13.5">
      <c r="A51" s="72" t="s">
        <v>147</v>
      </c>
      <c r="B51" s="15" t="s">
        <v>418</v>
      </c>
      <c r="C51" s="58" t="s">
        <v>1379</v>
      </c>
      <c r="D51" s="15">
        <v>500000</v>
      </c>
      <c r="E51" s="15">
        <v>5000006</v>
      </c>
      <c r="F51" s="13" t="s">
        <v>1380</v>
      </c>
      <c r="G51" s="13" t="s">
        <v>1381</v>
      </c>
      <c r="H51" s="6" t="s">
        <v>1382</v>
      </c>
      <c r="I51" s="7" t="s">
        <v>18</v>
      </c>
      <c r="J51" s="7">
        <v>54720</v>
      </c>
      <c r="K51" s="14">
        <v>15212</v>
      </c>
      <c r="L51" s="14" t="s">
        <v>1383</v>
      </c>
      <c r="M51" s="26" t="s">
        <v>1340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spans="1:40" s="12" customFormat="1" ht="13.5">
      <c r="A52" s="72" t="s">
        <v>981</v>
      </c>
      <c r="B52" s="15" t="s">
        <v>418</v>
      </c>
      <c r="C52" s="57"/>
      <c r="D52" s="25"/>
      <c r="E52" s="25"/>
      <c r="F52" s="13" t="s">
        <v>1246</v>
      </c>
      <c r="G52" s="13"/>
      <c r="H52" s="13"/>
      <c r="I52" s="15" t="s">
        <v>73</v>
      </c>
      <c r="J52" s="3"/>
      <c r="K52" s="14"/>
      <c r="L52" s="14"/>
      <c r="M52" s="26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spans="1:40" s="12" customFormat="1" ht="13.5">
      <c r="A53" s="72" t="s">
        <v>147</v>
      </c>
      <c r="B53" s="15" t="s">
        <v>418</v>
      </c>
      <c r="C53" s="57" t="s">
        <v>1442</v>
      </c>
      <c r="D53" s="25">
        <v>960001</v>
      </c>
      <c r="E53" s="25"/>
      <c r="F53" s="13" t="s">
        <v>1443</v>
      </c>
      <c r="G53" s="13" t="s">
        <v>1444</v>
      </c>
      <c r="H53" s="2" t="s">
        <v>458</v>
      </c>
      <c r="I53" s="3" t="s">
        <v>73</v>
      </c>
      <c r="J53" s="3">
        <v>55303</v>
      </c>
      <c r="K53" s="14">
        <v>14378</v>
      </c>
      <c r="L53" s="14" t="s">
        <v>1445</v>
      </c>
      <c r="M53" s="26" t="s">
        <v>1446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 spans="1:40" s="12" customFormat="1" ht="13.5">
      <c r="A54" s="75" t="s">
        <v>126</v>
      </c>
      <c r="B54" s="28" t="s">
        <v>1207</v>
      </c>
      <c r="C54" s="61" t="s">
        <v>1208</v>
      </c>
      <c r="D54" s="52">
        <v>1600000</v>
      </c>
      <c r="E54" s="52"/>
      <c r="F54" s="29" t="s">
        <v>1209</v>
      </c>
      <c r="G54" s="13" t="s">
        <v>1386</v>
      </c>
      <c r="H54" s="4" t="s">
        <v>258</v>
      </c>
      <c r="I54" s="3" t="s">
        <v>259</v>
      </c>
      <c r="J54" s="3">
        <v>57703</v>
      </c>
      <c r="K54" s="14">
        <v>14351</v>
      </c>
      <c r="L54" s="14" t="s">
        <v>1211</v>
      </c>
      <c r="M54" s="26" t="s">
        <v>1212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 spans="1:40" s="12" customFormat="1" ht="13.5">
      <c r="A55" s="72" t="s">
        <v>147</v>
      </c>
      <c r="B55" s="15" t="s">
        <v>1216</v>
      </c>
      <c r="C55" s="58" t="s">
        <v>1217</v>
      </c>
      <c r="D55" s="15">
        <v>1400000</v>
      </c>
      <c r="E55" s="15"/>
      <c r="F55" s="13" t="s">
        <v>233</v>
      </c>
      <c r="G55" s="13" t="s">
        <v>1218</v>
      </c>
      <c r="H55" s="4" t="s">
        <v>237</v>
      </c>
      <c r="I55" s="3" t="s">
        <v>50</v>
      </c>
      <c r="J55" s="3">
        <v>69361</v>
      </c>
      <c r="K55" s="14">
        <v>14341</v>
      </c>
      <c r="L55" s="14" t="s">
        <v>238</v>
      </c>
      <c r="M55" s="26" t="s">
        <v>239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</row>
    <row r="56" spans="1:40" s="12" customFormat="1" ht="13.5">
      <c r="A56" s="72" t="s">
        <v>147</v>
      </c>
      <c r="B56" s="15" t="s">
        <v>1216</v>
      </c>
      <c r="C56" s="58" t="s">
        <v>1395</v>
      </c>
      <c r="D56" s="15">
        <v>1800000</v>
      </c>
      <c r="E56" s="15"/>
      <c r="F56" s="13" t="s">
        <v>1396</v>
      </c>
      <c r="G56" s="13" t="s">
        <v>1397</v>
      </c>
      <c r="H56" s="4" t="s">
        <v>1252</v>
      </c>
      <c r="I56" s="3" t="s">
        <v>212</v>
      </c>
      <c r="J56" s="3">
        <v>59601</v>
      </c>
      <c r="K56" s="14"/>
      <c r="L56" s="14" t="s">
        <v>1398</v>
      </c>
      <c r="M56" s="26" t="s">
        <v>1399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1"/>
    </row>
    <row r="57" spans="1:40" s="13" customFormat="1" ht="13.5">
      <c r="A57" s="72" t="s">
        <v>147</v>
      </c>
      <c r="B57" s="15" t="s">
        <v>1216</v>
      </c>
      <c r="C57" s="58" t="s">
        <v>1447</v>
      </c>
      <c r="D57" s="15">
        <v>1800000</v>
      </c>
      <c r="E57" s="15"/>
      <c r="F57" s="13" t="s">
        <v>1448</v>
      </c>
      <c r="G57" s="13" t="s">
        <v>1449</v>
      </c>
      <c r="H57" s="4" t="s">
        <v>1450</v>
      </c>
      <c r="I57" s="3" t="s">
        <v>212</v>
      </c>
      <c r="J57" s="3">
        <v>59044</v>
      </c>
      <c r="K57" s="14"/>
      <c r="L57" s="14" t="s">
        <v>1451</v>
      </c>
      <c r="M57" s="26" t="s">
        <v>1452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40" s="13" customFormat="1" ht="13.5">
      <c r="A58" s="72" t="s">
        <v>147</v>
      </c>
      <c r="B58" s="15" t="s">
        <v>1216</v>
      </c>
      <c r="C58" s="58" t="s">
        <v>1387</v>
      </c>
      <c r="D58" s="15">
        <v>800000</v>
      </c>
      <c r="E58" s="15"/>
      <c r="F58" s="13" t="s">
        <v>1389</v>
      </c>
      <c r="G58" s="23" t="s">
        <v>1390</v>
      </c>
      <c r="H58" s="13" t="s">
        <v>1391</v>
      </c>
      <c r="I58" s="3" t="s">
        <v>230</v>
      </c>
      <c r="J58" s="3">
        <v>58521</v>
      </c>
      <c r="K58" s="14">
        <v>18019</v>
      </c>
      <c r="L58" s="14" t="s">
        <v>1392</v>
      </c>
      <c r="M58" s="26" t="s">
        <v>1393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40" s="13" customFormat="1" ht="13.5">
      <c r="A59" s="72" t="s">
        <v>147</v>
      </c>
      <c r="B59" s="15" t="s">
        <v>1216</v>
      </c>
      <c r="C59" s="58" t="s">
        <v>1453</v>
      </c>
      <c r="D59" s="15">
        <v>1600000</v>
      </c>
      <c r="E59" s="15"/>
      <c r="F59" s="13" t="s">
        <v>1454</v>
      </c>
      <c r="G59" s="13" t="s">
        <v>1455</v>
      </c>
      <c r="H59" s="4" t="s">
        <v>1258</v>
      </c>
      <c r="I59" s="3" t="s">
        <v>212</v>
      </c>
      <c r="J59" s="3">
        <v>59718</v>
      </c>
      <c r="K59" s="14">
        <v>23006</v>
      </c>
      <c r="L59" s="14" t="s">
        <v>1456</v>
      </c>
      <c r="M59" s="26" t="s">
        <v>1457</v>
      </c>
      <c r="N59" s="15"/>
    </row>
    <row r="60" spans="1:40" s="13" customFormat="1" ht="13.5">
      <c r="A60" s="72" t="s">
        <v>147</v>
      </c>
      <c r="B60" s="15" t="s">
        <v>1216</v>
      </c>
      <c r="C60" s="58" t="s">
        <v>1458</v>
      </c>
      <c r="D60" s="15">
        <v>1400000</v>
      </c>
      <c r="E60" s="15"/>
      <c r="F60" s="13" t="s">
        <v>1459</v>
      </c>
      <c r="G60" s="13" t="s">
        <v>1460</v>
      </c>
      <c r="H60" s="13" t="s">
        <v>1461</v>
      </c>
      <c r="I60" s="15" t="s">
        <v>259</v>
      </c>
      <c r="J60" s="15">
        <v>57769</v>
      </c>
      <c r="K60" s="14">
        <v>14345</v>
      </c>
      <c r="L60" s="14" t="s">
        <v>1462</v>
      </c>
      <c r="M60" s="26" t="s">
        <v>1463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40" s="13" customFormat="1" ht="13.5">
      <c r="A61" s="75" t="s">
        <v>126</v>
      </c>
      <c r="B61" s="28" t="s">
        <v>1263</v>
      </c>
      <c r="C61" s="58" t="s">
        <v>1285</v>
      </c>
      <c r="D61" s="15">
        <v>1800000</v>
      </c>
      <c r="E61" s="15"/>
      <c r="F61" s="29" t="s">
        <v>479</v>
      </c>
      <c r="G61" s="13" t="s">
        <v>1394</v>
      </c>
      <c r="H61" s="13" t="s">
        <v>524</v>
      </c>
      <c r="I61" s="15" t="s">
        <v>525</v>
      </c>
      <c r="J61" s="15">
        <v>99218</v>
      </c>
      <c r="K61" s="14"/>
      <c r="L61" s="14" t="s">
        <v>526</v>
      </c>
      <c r="M61" s="26" t="s">
        <v>527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40">
      <c r="A62" s="72" t="s">
        <v>147</v>
      </c>
      <c r="B62" s="15" t="s">
        <v>477</v>
      </c>
      <c r="C62" s="58" t="s">
        <v>1400</v>
      </c>
      <c r="D62" s="15">
        <v>1800000</v>
      </c>
      <c r="E62" s="15"/>
      <c r="F62" s="13" t="s">
        <v>1401</v>
      </c>
      <c r="G62" s="13" t="s">
        <v>1402</v>
      </c>
      <c r="H62" s="13" t="s">
        <v>530</v>
      </c>
      <c r="I62" s="15" t="s">
        <v>212</v>
      </c>
      <c r="J62" s="3">
        <v>59404</v>
      </c>
      <c r="K62" s="14"/>
      <c r="L62" s="14" t="s">
        <v>1403</v>
      </c>
      <c r="M62" s="26" t="s">
        <v>1404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E62"/>
      <c r="AF62"/>
      <c r="AG62"/>
      <c r="AH62"/>
      <c r="AI62"/>
      <c r="AJ62"/>
      <c r="AK62"/>
      <c r="AL62"/>
      <c r="AM62"/>
      <c r="AN62"/>
    </row>
    <row r="63" spans="1:40">
      <c r="A63" s="72" t="s">
        <v>1164</v>
      </c>
      <c r="B63" s="15" t="s">
        <v>477</v>
      </c>
      <c r="C63" s="58" t="s">
        <v>1405</v>
      </c>
      <c r="D63" s="15">
        <v>1800000</v>
      </c>
      <c r="E63" s="15"/>
      <c r="F63" s="13" t="s">
        <v>1406</v>
      </c>
      <c r="G63" s="13" t="s">
        <v>1407</v>
      </c>
      <c r="H63" s="13" t="s">
        <v>1408</v>
      </c>
      <c r="I63" s="15" t="s">
        <v>525</v>
      </c>
      <c r="J63" s="3">
        <v>99025</v>
      </c>
      <c r="K63" s="14"/>
      <c r="L63" s="14" t="s">
        <v>1409</v>
      </c>
      <c r="M63" s="26" t="s">
        <v>1410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E63"/>
      <c r="AF63"/>
      <c r="AG63"/>
      <c r="AH63"/>
      <c r="AI63"/>
      <c r="AJ63"/>
      <c r="AK63"/>
      <c r="AL63"/>
      <c r="AM63"/>
      <c r="AN63"/>
    </row>
    <row r="64" spans="1:40">
      <c r="A64" s="72" t="s">
        <v>147</v>
      </c>
      <c r="B64" s="15" t="s">
        <v>477</v>
      </c>
      <c r="C64" s="58" t="s">
        <v>1267</v>
      </c>
      <c r="D64" s="15">
        <v>1800000</v>
      </c>
      <c r="E64" s="15"/>
      <c r="F64" s="13" t="s">
        <v>868</v>
      </c>
      <c r="G64" s="13" t="s">
        <v>1411</v>
      </c>
      <c r="H64" s="13" t="s">
        <v>524</v>
      </c>
      <c r="I64" s="15" t="s">
        <v>525</v>
      </c>
      <c r="J64" s="3">
        <v>99202</v>
      </c>
      <c r="K64" s="14"/>
      <c r="L64" s="14" t="s">
        <v>1270</v>
      </c>
      <c r="M64" s="26" t="s">
        <v>1412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E64"/>
      <c r="AF64"/>
      <c r="AG64"/>
      <c r="AH64"/>
      <c r="AI64"/>
      <c r="AJ64"/>
      <c r="AK64"/>
      <c r="AL64"/>
      <c r="AM64"/>
      <c r="AN64"/>
    </row>
    <row r="65" spans="1:40">
      <c r="A65" s="72" t="s">
        <v>147</v>
      </c>
      <c r="B65" s="15" t="s">
        <v>477</v>
      </c>
      <c r="C65" s="58" t="s">
        <v>1413</v>
      </c>
      <c r="D65" s="15">
        <v>1800000</v>
      </c>
      <c r="E65" s="15"/>
      <c r="F65" s="13" t="s">
        <v>1464</v>
      </c>
      <c r="G65" s="13" t="s">
        <v>1465</v>
      </c>
      <c r="H65" s="13" t="s">
        <v>469</v>
      </c>
      <c r="I65" s="15" t="s">
        <v>212</v>
      </c>
      <c r="J65" s="3">
        <v>59803</v>
      </c>
      <c r="K65" s="14"/>
      <c r="L65" s="14" t="s">
        <v>1466</v>
      </c>
      <c r="M65" s="26" t="s">
        <v>1467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E65"/>
      <c r="AF65"/>
      <c r="AG65"/>
      <c r="AH65"/>
      <c r="AI65"/>
      <c r="AJ65"/>
      <c r="AK65"/>
      <c r="AL65"/>
      <c r="AM65"/>
      <c r="AN65"/>
    </row>
    <row r="66" spans="1:40">
      <c r="A66" s="72" t="s">
        <v>147</v>
      </c>
      <c r="B66" s="15" t="s">
        <v>477</v>
      </c>
      <c r="C66" s="58" t="s">
        <v>1414</v>
      </c>
      <c r="D66" s="15">
        <v>1800000</v>
      </c>
      <c r="E66" s="15"/>
      <c r="F66" s="13" t="s">
        <v>1415</v>
      </c>
      <c r="G66" s="13" t="s">
        <v>1416</v>
      </c>
      <c r="H66" s="13" t="s">
        <v>1417</v>
      </c>
      <c r="I66" s="15" t="s">
        <v>525</v>
      </c>
      <c r="J66" s="15">
        <v>99006</v>
      </c>
      <c r="K66" s="14"/>
      <c r="L66" s="14" t="s">
        <v>1418</v>
      </c>
      <c r="M66" s="26" t="s">
        <v>1419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E66"/>
      <c r="AF66"/>
      <c r="AG66"/>
      <c r="AH66"/>
      <c r="AI66"/>
      <c r="AJ66"/>
      <c r="AK66"/>
      <c r="AL66"/>
      <c r="AM66"/>
      <c r="AN66"/>
    </row>
    <row r="67" spans="1:40">
      <c r="A67" s="73"/>
      <c r="B67" s="39"/>
      <c r="C67" s="59"/>
      <c r="D67" s="39"/>
      <c r="E67" s="39"/>
      <c r="F67" s="41"/>
      <c r="G67" s="41"/>
      <c r="H67" s="47"/>
      <c r="I67" s="48"/>
      <c r="J67" s="48"/>
      <c r="K67" s="43"/>
      <c r="L67" s="43"/>
      <c r="M67" s="66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E67"/>
      <c r="AF67"/>
      <c r="AG67"/>
      <c r="AH67"/>
      <c r="AI67"/>
      <c r="AJ67"/>
      <c r="AK67"/>
      <c r="AL67"/>
      <c r="AM67"/>
      <c r="AN67"/>
    </row>
    <row r="68" spans="1:40">
      <c r="A68" s="74" t="s">
        <v>948</v>
      </c>
      <c r="B68" s="31"/>
      <c r="C68" s="60" t="s">
        <v>949</v>
      </c>
      <c r="D68" s="53">
        <v>500000</v>
      </c>
      <c r="E68" s="53">
        <v>5000009</v>
      </c>
      <c r="F68" s="30" t="s">
        <v>950</v>
      </c>
      <c r="G68" s="32" t="s">
        <v>951</v>
      </c>
      <c r="H68" s="35" t="s">
        <v>952</v>
      </c>
      <c r="I68" s="36" t="s">
        <v>18</v>
      </c>
      <c r="J68" s="36">
        <v>54745</v>
      </c>
      <c r="K68" s="34">
        <v>15275</v>
      </c>
      <c r="L68" s="34" t="s">
        <v>953</v>
      </c>
      <c r="M68" s="68" t="s">
        <v>1294</v>
      </c>
      <c r="T68" s="19"/>
      <c r="U68" s="19"/>
      <c r="V68" s="19"/>
      <c r="W68" s="19"/>
      <c r="X68" s="19"/>
      <c r="Y68" s="19"/>
      <c r="Z68" s="19"/>
      <c r="AA68" s="19"/>
      <c r="AB68" s="19"/>
      <c r="AC68" s="19"/>
      <c r="AE68"/>
      <c r="AF68"/>
      <c r="AG68"/>
      <c r="AH68"/>
      <c r="AI68"/>
      <c r="AJ68"/>
      <c r="AK68"/>
      <c r="AL68"/>
      <c r="AM68"/>
      <c r="AN68"/>
    </row>
    <row r="69" spans="1:40">
      <c r="A69" s="72" t="s">
        <v>5</v>
      </c>
      <c r="B69" s="15"/>
      <c r="C69" s="58" t="s">
        <v>955</v>
      </c>
      <c r="D69" s="15">
        <v>900000</v>
      </c>
      <c r="E69" s="15"/>
      <c r="F69" s="13" t="s">
        <v>906</v>
      </c>
      <c r="G69" s="13" t="s">
        <v>956</v>
      </c>
      <c r="H69" s="13" t="s">
        <v>957</v>
      </c>
      <c r="I69" s="15" t="s">
        <v>131</v>
      </c>
      <c r="J69" s="15">
        <v>60467</v>
      </c>
      <c r="K69" s="16">
        <v>15319</v>
      </c>
      <c r="L69" s="14" t="s">
        <v>958</v>
      </c>
      <c r="M69" s="26" t="s">
        <v>959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E69"/>
      <c r="AF69"/>
      <c r="AG69"/>
      <c r="AH69"/>
      <c r="AI69"/>
      <c r="AJ69"/>
      <c r="AK69"/>
      <c r="AL69"/>
      <c r="AM69"/>
      <c r="AN69"/>
    </row>
    <row r="70" spans="1:40">
      <c r="A70" s="76" t="s">
        <v>1295</v>
      </c>
      <c r="B70" s="33"/>
      <c r="C70" s="62" t="s">
        <v>1296</v>
      </c>
      <c r="D70" s="33">
        <v>500000</v>
      </c>
      <c r="E70" s="33">
        <v>50000010</v>
      </c>
      <c r="F70" s="32" t="s">
        <v>907</v>
      </c>
      <c r="G70" s="32" t="s">
        <v>1297</v>
      </c>
      <c r="H70" s="32" t="s">
        <v>793</v>
      </c>
      <c r="I70" s="33" t="s">
        <v>94</v>
      </c>
      <c r="J70" s="33">
        <v>54703</v>
      </c>
      <c r="K70" s="67">
        <v>15250</v>
      </c>
      <c r="L70" s="34" t="s">
        <v>1298</v>
      </c>
      <c r="M70" s="49" t="s">
        <v>1299</v>
      </c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/>
      <c r="AF70"/>
      <c r="AG70"/>
      <c r="AH70"/>
      <c r="AI70"/>
      <c r="AJ70"/>
      <c r="AK70"/>
      <c r="AL70"/>
      <c r="AM70"/>
      <c r="AN70"/>
    </row>
    <row r="71" spans="1:40">
      <c r="A71" s="77"/>
      <c r="B71" s="13"/>
      <c r="C71" s="63"/>
      <c r="D71" s="13"/>
      <c r="E71" s="13"/>
      <c r="F71" s="13"/>
      <c r="G71" s="13"/>
      <c r="H71" s="13"/>
      <c r="I71" s="13"/>
      <c r="J71" s="13"/>
      <c r="K71" s="13"/>
      <c r="L71" s="13"/>
      <c r="M71" s="13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/>
      <c r="AF71"/>
      <c r="AG71"/>
      <c r="AH71"/>
      <c r="AI71"/>
      <c r="AJ71"/>
      <c r="AK71"/>
      <c r="AL71"/>
      <c r="AM71"/>
      <c r="AN71"/>
    </row>
    <row r="72" spans="1:40">
      <c r="A72" s="77"/>
      <c r="B72" s="13"/>
      <c r="C72" s="63"/>
      <c r="D72" s="13"/>
      <c r="E72" s="13"/>
      <c r="F72" s="13"/>
      <c r="G72" s="13"/>
      <c r="H72" s="13"/>
      <c r="I72" s="13"/>
      <c r="J72" s="13"/>
      <c r="K72" s="13"/>
      <c r="L72" s="13"/>
      <c r="M72" s="13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/>
      <c r="AF72"/>
      <c r="AG72"/>
      <c r="AH72"/>
      <c r="AI72"/>
      <c r="AJ72"/>
      <c r="AK72"/>
      <c r="AL72"/>
      <c r="AM72"/>
      <c r="AN72"/>
    </row>
    <row r="73" spans="1:40">
      <c r="M73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/>
      <c r="AF73"/>
      <c r="AG73"/>
      <c r="AH73"/>
      <c r="AI73"/>
      <c r="AJ73"/>
      <c r="AK73"/>
      <c r="AL73"/>
      <c r="AM73"/>
      <c r="AN73"/>
    </row>
    <row r="74" spans="1:40">
      <c r="M74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/>
      <c r="AF74"/>
      <c r="AG74"/>
      <c r="AH74"/>
      <c r="AI74"/>
      <c r="AJ74"/>
      <c r="AK74"/>
      <c r="AL74"/>
      <c r="AM74"/>
      <c r="AN74"/>
    </row>
    <row r="75" spans="1:40">
      <c r="M75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/>
      <c r="AF75"/>
      <c r="AG75"/>
      <c r="AH75"/>
      <c r="AI75"/>
      <c r="AJ75"/>
      <c r="AK75"/>
      <c r="AL75"/>
      <c r="AM75"/>
      <c r="AN75"/>
    </row>
    <row r="76" spans="1:40">
      <c r="M76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/>
      <c r="AF76"/>
      <c r="AG76"/>
      <c r="AH76"/>
      <c r="AI76"/>
      <c r="AJ76"/>
      <c r="AK76"/>
      <c r="AL76"/>
      <c r="AM76"/>
      <c r="AN76"/>
    </row>
    <row r="77" spans="1:40">
      <c r="M7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/>
      <c r="AF77"/>
      <c r="AG77"/>
      <c r="AH77"/>
      <c r="AI77"/>
      <c r="AJ77"/>
      <c r="AK77"/>
      <c r="AL77"/>
      <c r="AM77"/>
      <c r="AN77"/>
    </row>
    <row r="78" spans="1:40">
      <c r="M78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/>
      <c r="AF78"/>
      <c r="AG78"/>
      <c r="AH78"/>
      <c r="AI78"/>
      <c r="AJ78"/>
      <c r="AK78"/>
      <c r="AL78"/>
      <c r="AM78"/>
      <c r="AN78"/>
    </row>
    <row r="79" spans="1:40">
      <c r="M7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/>
      <c r="AF79"/>
      <c r="AG79"/>
      <c r="AH79"/>
      <c r="AI79"/>
      <c r="AJ79"/>
      <c r="AK79"/>
      <c r="AL79"/>
      <c r="AM79"/>
      <c r="AN79"/>
    </row>
    <row r="80" spans="1:40">
      <c r="M80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/>
      <c r="AF80"/>
      <c r="AG80"/>
      <c r="AH80"/>
      <c r="AI80"/>
      <c r="AJ80"/>
      <c r="AK80"/>
      <c r="AL80"/>
      <c r="AM80"/>
      <c r="AN80"/>
    </row>
    <row r="81" spans="13:40">
      <c r="M81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/>
      <c r="AF81"/>
      <c r="AG81"/>
      <c r="AH81"/>
      <c r="AI81"/>
      <c r="AJ81"/>
      <c r="AK81"/>
      <c r="AL81"/>
      <c r="AM81"/>
      <c r="AN81"/>
    </row>
    <row r="82" spans="13:40">
      <c r="M82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/>
      <c r="AF82"/>
      <c r="AG82"/>
      <c r="AH82"/>
      <c r="AI82"/>
      <c r="AJ82"/>
      <c r="AK82"/>
      <c r="AL82"/>
      <c r="AM82"/>
      <c r="AN82"/>
    </row>
    <row r="83" spans="13:40">
      <c r="M83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/>
      <c r="AF83"/>
      <c r="AG83"/>
      <c r="AH83"/>
      <c r="AI83"/>
      <c r="AJ83"/>
      <c r="AK83"/>
      <c r="AL83"/>
      <c r="AM83"/>
      <c r="AN83"/>
    </row>
    <row r="84" spans="13:40">
      <c r="M84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/>
      <c r="AF84"/>
      <c r="AG84"/>
      <c r="AH84"/>
      <c r="AI84"/>
      <c r="AJ84"/>
      <c r="AK84"/>
      <c r="AL84"/>
      <c r="AM84"/>
      <c r="AN84"/>
    </row>
    <row r="85" spans="13:40">
      <c r="M85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/>
      <c r="AF85"/>
      <c r="AG85"/>
      <c r="AH85"/>
      <c r="AI85"/>
      <c r="AJ85"/>
      <c r="AK85"/>
      <c r="AL85"/>
      <c r="AM85"/>
      <c r="AN85"/>
    </row>
    <row r="86" spans="13:40">
      <c r="M86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/>
      <c r="AF86"/>
      <c r="AG86"/>
      <c r="AH86"/>
      <c r="AI86"/>
      <c r="AJ86"/>
      <c r="AK86"/>
      <c r="AL86"/>
      <c r="AM86"/>
      <c r="AN86"/>
    </row>
    <row r="87" spans="13:40">
      <c r="M8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/>
      <c r="AF87"/>
      <c r="AG87"/>
      <c r="AH87"/>
      <c r="AI87"/>
      <c r="AJ87"/>
      <c r="AK87"/>
      <c r="AL87"/>
      <c r="AM87"/>
      <c r="AN87"/>
    </row>
    <row r="88" spans="13:40">
      <c r="M88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/>
      <c r="AF88"/>
      <c r="AG88"/>
      <c r="AH88"/>
      <c r="AI88"/>
      <c r="AJ88"/>
      <c r="AK88"/>
      <c r="AL88"/>
      <c r="AM88"/>
      <c r="AN88"/>
    </row>
    <row r="89" spans="13:40">
      <c r="M8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/>
      <c r="AF89"/>
      <c r="AG89"/>
      <c r="AH89"/>
      <c r="AI89"/>
      <c r="AJ89"/>
      <c r="AK89"/>
      <c r="AL89"/>
      <c r="AM89"/>
      <c r="AN89"/>
    </row>
    <row r="90" spans="13:40">
      <c r="M90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/>
      <c r="AF90"/>
      <c r="AG90"/>
      <c r="AH90"/>
      <c r="AI90"/>
      <c r="AJ90"/>
      <c r="AK90"/>
      <c r="AL90"/>
      <c r="AM90"/>
      <c r="AN90"/>
    </row>
    <row r="91" spans="13:40">
      <c r="M91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/>
      <c r="AF91"/>
      <c r="AG91"/>
      <c r="AH91"/>
      <c r="AI91"/>
      <c r="AJ91"/>
      <c r="AK91"/>
      <c r="AL91"/>
      <c r="AM91"/>
      <c r="AN91"/>
    </row>
    <row r="92" spans="13:40">
      <c r="M92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/>
      <c r="AF92"/>
      <c r="AG92"/>
      <c r="AH92"/>
      <c r="AI92"/>
      <c r="AJ92"/>
      <c r="AK92"/>
      <c r="AL92"/>
      <c r="AM92"/>
      <c r="AN92"/>
    </row>
    <row r="93" spans="13:40">
      <c r="M93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/>
      <c r="AF93"/>
      <c r="AG93"/>
      <c r="AH93"/>
      <c r="AI93"/>
      <c r="AJ93"/>
      <c r="AK93"/>
      <c r="AL93"/>
      <c r="AM93"/>
      <c r="AN93"/>
    </row>
    <row r="94" spans="13:40">
      <c r="M94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/>
      <c r="AF94"/>
      <c r="AG94"/>
      <c r="AH94"/>
      <c r="AI94"/>
      <c r="AJ94"/>
      <c r="AK94"/>
      <c r="AL94"/>
      <c r="AM94"/>
      <c r="AN94"/>
    </row>
    <row r="95" spans="13:40">
      <c r="M95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/>
      <c r="AF95"/>
      <c r="AG95"/>
      <c r="AH95"/>
      <c r="AI95"/>
      <c r="AJ95"/>
      <c r="AK95"/>
      <c r="AL95"/>
      <c r="AM95"/>
      <c r="AN95"/>
    </row>
    <row r="96" spans="13:40">
      <c r="M96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/>
      <c r="AF96"/>
      <c r="AG96"/>
      <c r="AH96"/>
      <c r="AI96"/>
      <c r="AJ96"/>
      <c r="AK96"/>
      <c r="AL96"/>
      <c r="AM96"/>
      <c r="AN96"/>
    </row>
    <row r="97" spans="13:40">
      <c r="M9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/>
      <c r="AF97"/>
      <c r="AG97"/>
      <c r="AH97"/>
      <c r="AI97"/>
      <c r="AJ97"/>
      <c r="AK97"/>
      <c r="AL97"/>
      <c r="AM97"/>
      <c r="AN97"/>
    </row>
    <row r="98" spans="13:40">
      <c r="M98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/>
      <c r="AF98"/>
      <c r="AG98"/>
      <c r="AH98"/>
      <c r="AI98"/>
      <c r="AJ98"/>
      <c r="AK98"/>
      <c r="AL98"/>
      <c r="AM98"/>
      <c r="AN98"/>
    </row>
    <row r="99" spans="13:40">
      <c r="M9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/>
      <c r="AF99"/>
      <c r="AG99"/>
      <c r="AH99"/>
      <c r="AI99"/>
      <c r="AJ99"/>
      <c r="AK99"/>
      <c r="AL99"/>
      <c r="AM99"/>
      <c r="AN99"/>
    </row>
    <row r="100" spans="13:40">
      <c r="M100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/>
      <c r="AF100"/>
      <c r="AG100"/>
      <c r="AH100"/>
      <c r="AI100"/>
      <c r="AJ100"/>
      <c r="AK100"/>
      <c r="AL100"/>
      <c r="AM100"/>
      <c r="AN100"/>
    </row>
    <row r="101" spans="13:40">
      <c r="M101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/>
      <c r="AF101"/>
      <c r="AG101"/>
      <c r="AH101"/>
      <c r="AI101"/>
      <c r="AJ101"/>
      <c r="AK101"/>
      <c r="AL101"/>
      <c r="AM101"/>
      <c r="AN101"/>
    </row>
    <row r="102" spans="13:40">
      <c r="M102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/>
      <c r="AF102"/>
      <c r="AG102"/>
      <c r="AH102"/>
      <c r="AI102"/>
      <c r="AJ102"/>
      <c r="AK102"/>
      <c r="AL102"/>
      <c r="AM102"/>
      <c r="AN102"/>
    </row>
    <row r="103" spans="13:40">
      <c r="M103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/>
      <c r="AF103"/>
      <c r="AG103"/>
      <c r="AH103"/>
      <c r="AI103"/>
      <c r="AJ103"/>
      <c r="AK103"/>
      <c r="AL103"/>
      <c r="AM103"/>
      <c r="AN103"/>
    </row>
    <row r="104" spans="13:40">
      <c r="M104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/>
      <c r="AF104"/>
      <c r="AG104"/>
      <c r="AH104"/>
      <c r="AI104"/>
      <c r="AJ104"/>
      <c r="AK104"/>
      <c r="AL104"/>
      <c r="AM104"/>
      <c r="AN104"/>
    </row>
    <row r="105" spans="13:40">
      <c r="M105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/>
      <c r="AF105"/>
      <c r="AG105"/>
      <c r="AH105"/>
      <c r="AI105"/>
      <c r="AJ105"/>
      <c r="AK105"/>
      <c r="AL105"/>
      <c r="AM105"/>
      <c r="AN105"/>
    </row>
    <row r="106" spans="13:40">
      <c r="M106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/>
      <c r="AF106"/>
      <c r="AG106"/>
      <c r="AH106"/>
      <c r="AI106"/>
      <c r="AJ106"/>
      <c r="AK106"/>
      <c r="AL106"/>
      <c r="AM106"/>
      <c r="AN106"/>
    </row>
    <row r="107" spans="13:40">
      <c r="M10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/>
      <c r="AF107"/>
      <c r="AG107"/>
      <c r="AH107"/>
      <c r="AI107"/>
      <c r="AJ107"/>
      <c r="AK107"/>
      <c r="AL107"/>
      <c r="AM107"/>
      <c r="AN107"/>
    </row>
    <row r="108" spans="13:40">
      <c r="M108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/>
      <c r="AF108"/>
      <c r="AG108"/>
      <c r="AH108"/>
      <c r="AI108"/>
      <c r="AJ108"/>
      <c r="AK108"/>
      <c r="AL108"/>
      <c r="AM108"/>
      <c r="AN108"/>
    </row>
    <row r="109" spans="13:40">
      <c r="M10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/>
      <c r="AF109"/>
      <c r="AG109"/>
      <c r="AH109"/>
      <c r="AI109"/>
      <c r="AJ109"/>
      <c r="AK109"/>
      <c r="AL109"/>
      <c r="AM109"/>
      <c r="AN109"/>
    </row>
    <row r="110" spans="13:40">
      <c r="M110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/>
      <c r="AF110"/>
      <c r="AG110"/>
      <c r="AH110"/>
      <c r="AI110"/>
      <c r="AJ110"/>
      <c r="AK110"/>
      <c r="AL110"/>
      <c r="AM110"/>
      <c r="AN110"/>
    </row>
    <row r="111" spans="13:40">
      <c r="M111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/>
      <c r="AF111"/>
      <c r="AG111"/>
      <c r="AH111"/>
      <c r="AI111"/>
      <c r="AJ111"/>
      <c r="AK111"/>
      <c r="AL111"/>
      <c r="AM111"/>
      <c r="AN111"/>
    </row>
    <row r="112" spans="13:40">
      <c r="M112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/>
      <c r="AF112"/>
      <c r="AG112"/>
      <c r="AH112"/>
      <c r="AI112"/>
      <c r="AJ112"/>
      <c r="AK112"/>
      <c r="AL112"/>
      <c r="AM112"/>
      <c r="AN112"/>
    </row>
    <row r="113" spans="13:40">
      <c r="M113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/>
      <c r="AF113"/>
      <c r="AG113"/>
      <c r="AH113"/>
      <c r="AI113"/>
      <c r="AJ113"/>
      <c r="AK113"/>
      <c r="AL113"/>
      <c r="AM113"/>
      <c r="AN113"/>
    </row>
    <row r="114" spans="13:40">
      <c r="M114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/>
      <c r="AF114"/>
      <c r="AG114"/>
      <c r="AH114"/>
      <c r="AI114"/>
      <c r="AJ114"/>
      <c r="AK114"/>
      <c r="AL114"/>
      <c r="AM114"/>
      <c r="AN114"/>
    </row>
    <row r="115" spans="13:40">
      <c r="M115"/>
    </row>
    <row r="116" spans="13:40">
      <c r="M116"/>
    </row>
    <row r="117" spans="13:40">
      <c r="M117"/>
    </row>
    <row r="118" spans="13:40">
      <c r="M118"/>
    </row>
    <row r="119" spans="13:40">
      <c r="M119"/>
    </row>
    <row r="120" spans="13:40">
      <c r="M120"/>
    </row>
    <row r="121" spans="13:40">
      <c r="M121"/>
    </row>
    <row r="122" spans="13:40">
      <c r="M122"/>
    </row>
    <row r="123" spans="13:40">
      <c r="M123"/>
    </row>
    <row r="124" spans="13:40">
      <c r="M124"/>
    </row>
    <row r="125" spans="13:40">
      <c r="M125"/>
    </row>
  </sheetData>
  <mergeCells count="1">
    <mergeCell ref="A1:M1"/>
  </mergeCells>
  <hyperlinks>
    <hyperlink ref="M4" r:id="rId1" xr:uid="{00000000-0004-0000-0600-000000000000}"/>
    <hyperlink ref="M20" r:id="rId2" xr:uid="{00000000-0004-0000-0600-000001000000}"/>
    <hyperlink ref="M3" r:id="rId3" xr:uid="{00000000-0004-0000-0600-000002000000}"/>
    <hyperlink ref="M31" r:id="rId4" xr:uid="{00000000-0004-0000-0600-000003000000}"/>
    <hyperlink ref="M5" r:id="rId5" xr:uid="{00000000-0004-0000-0600-000004000000}"/>
    <hyperlink ref="M40" r:id="rId6" xr:uid="{00000000-0004-0000-0600-000005000000}"/>
    <hyperlink ref="M48" r:id="rId7" xr:uid="{00000000-0004-0000-0600-000006000000}"/>
    <hyperlink ref="M25" r:id="rId8" xr:uid="{00000000-0004-0000-0600-000007000000}"/>
    <hyperlink ref="M6" r:id="rId9" xr:uid="{00000000-0004-0000-0600-000008000000}"/>
    <hyperlink ref="M70" r:id="rId10" xr:uid="{00000000-0004-0000-0600-000009000000}"/>
    <hyperlink ref="M50" r:id="rId11" xr:uid="{00000000-0004-0000-0600-00000A000000}"/>
    <hyperlink ref="M49" r:id="rId12" xr:uid="{00000000-0004-0000-0600-00000B000000}"/>
    <hyperlink ref="M30" r:id="rId13" xr:uid="{00000000-0004-0000-0600-00000C000000}"/>
    <hyperlink ref="M8" r:id="rId14" xr:uid="{00000000-0004-0000-0600-00000D000000}"/>
    <hyperlink ref="M68" r:id="rId15" xr:uid="{00000000-0004-0000-0600-00000E000000}"/>
    <hyperlink ref="M14" r:id="rId16" xr:uid="{00000000-0004-0000-0600-00000F000000}"/>
    <hyperlink ref="M24" r:id="rId17" xr:uid="{00000000-0004-0000-0600-000010000000}"/>
    <hyperlink ref="M38" r:id="rId18" xr:uid="{00000000-0004-0000-0600-000011000000}"/>
    <hyperlink ref="M29" r:id="rId19" xr:uid="{00000000-0004-0000-0600-000012000000}"/>
    <hyperlink ref="M69" r:id="rId20" xr:uid="{00000000-0004-0000-0600-000013000000}"/>
    <hyperlink ref="M27" r:id="rId21" xr:uid="{00000000-0004-0000-0600-000014000000}"/>
    <hyperlink ref="M34" r:id="rId22" xr:uid="{00000000-0004-0000-0600-000015000000}"/>
    <hyperlink ref="M55" r:id="rId23" xr:uid="{00000000-0004-0000-0600-000016000000}"/>
    <hyperlink ref="M32" r:id="rId24" xr:uid="{00000000-0004-0000-0600-000017000000}"/>
    <hyperlink ref="M60" r:id="rId25" xr:uid="{00000000-0004-0000-0600-000018000000}"/>
    <hyperlink ref="M19" r:id="rId26" xr:uid="{00000000-0004-0000-0600-000019000000}"/>
    <hyperlink ref="M51" r:id="rId27" xr:uid="{00000000-0004-0000-0600-00001A000000}"/>
    <hyperlink ref="M11" r:id="rId28" xr:uid="{00000000-0004-0000-0600-00001B000000}"/>
    <hyperlink ref="M9" r:id="rId29" xr:uid="{00000000-0004-0000-0600-00001C000000}"/>
    <hyperlink ref="M59" r:id="rId30" xr:uid="{00000000-0004-0000-0600-00001D000000}"/>
    <hyperlink ref="M39" r:id="rId31" xr:uid="{00000000-0004-0000-0600-00001E000000}"/>
    <hyperlink ref="M17" r:id="rId32" xr:uid="{00000000-0004-0000-0600-00001F000000}"/>
    <hyperlink ref="M58" r:id="rId33" xr:uid="{00000000-0004-0000-0600-000020000000}"/>
    <hyperlink ref="M33" r:id="rId34" xr:uid="{00000000-0004-0000-0600-000021000000}"/>
    <hyperlink ref="M16" r:id="rId35" xr:uid="{00000000-0004-0000-0600-000022000000}"/>
    <hyperlink ref="M43" r:id="rId36" xr:uid="{00000000-0004-0000-0600-000023000000}"/>
    <hyperlink ref="M46" r:id="rId37" xr:uid="{00000000-0004-0000-0600-000024000000}"/>
    <hyperlink ref="M47" r:id="rId38" xr:uid="{00000000-0004-0000-0600-000025000000}"/>
    <hyperlink ref="M28" r:id="rId39" xr:uid="{00000000-0004-0000-0600-000026000000}"/>
    <hyperlink ref="M42" r:id="rId40" xr:uid="{00000000-0004-0000-0600-000027000000}"/>
    <hyperlink ref="M13" r:id="rId41" xr:uid="{00000000-0004-0000-0600-000028000000}"/>
    <hyperlink ref="M22" r:id="rId42" xr:uid="{00000000-0004-0000-0600-000029000000}"/>
    <hyperlink ref="M35" r:id="rId43" xr:uid="{00000000-0004-0000-0600-00002A000000}"/>
    <hyperlink ref="M56" r:id="rId44" xr:uid="{00000000-0004-0000-0600-00002B000000}"/>
    <hyperlink ref="M62" r:id="rId45" xr:uid="{00000000-0004-0000-0600-00002C000000}"/>
    <hyperlink ref="M65" r:id="rId46" xr:uid="{00000000-0004-0000-0600-00002D000000}"/>
    <hyperlink ref="M57" r:id="rId47" xr:uid="{00000000-0004-0000-0600-00002E000000}"/>
    <hyperlink ref="M63" r:id="rId48" xr:uid="{00000000-0004-0000-0600-00002F000000}"/>
    <hyperlink ref="M26" r:id="rId49" xr:uid="{00000000-0004-0000-0600-000030000000}"/>
    <hyperlink ref="M45" r:id="rId50" xr:uid="{00000000-0004-0000-0600-000031000000}"/>
    <hyperlink ref="M36" r:id="rId51" xr:uid="{00000000-0004-0000-0600-000032000000}"/>
    <hyperlink ref="M61" r:id="rId52" xr:uid="{00000000-0004-0000-0600-000033000000}"/>
    <hyperlink ref="M64" r:id="rId53" xr:uid="{00000000-0004-0000-0600-000034000000}"/>
    <hyperlink ref="M66" r:id="rId54" xr:uid="{00000000-0004-0000-0600-000035000000}"/>
    <hyperlink ref="M41" r:id="rId55" xr:uid="{00000000-0004-0000-0600-000036000000}"/>
  </hyperlinks>
  <printOptions horizontalCentered="1"/>
  <pageMargins left="0.25" right="0.25" top="0.25" bottom="0.25" header="0.5" footer="0.5"/>
  <pageSetup scale="54" orientation="landscape" r:id="rId56"/>
  <headerFooter>
    <oddHeader>&amp;CWausau Supply  Company Sales Staff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fa0e72-4838-4c87-ade5-9d74fac4b7f1">
      <Terms xmlns="http://schemas.microsoft.com/office/infopath/2007/PartnerControls"/>
    </lcf76f155ced4ddcb4097134ff3c332f>
    <TaxCatchAll xmlns="224ab14d-b369-44bc-b3fc-8290e3e5c9fd" xsi:nil="true"/>
    <SharedWithUsers xmlns="224ab14d-b369-44bc-b3fc-8290e3e5c9fd">
      <UserInfo>
        <DisplayName>Alana Elderbrook</DisplayName>
        <AccountId>10</AccountId>
        <AccountType/>
      </UserInfo>
      <UserInfo>
        <DisplayName>Aaron Sluder</DisplayName>
        <AccountId>720</AccountId>
        <AccountType/>
      </UserInfo>
      <UserInfo>
        <DisplayName>Allison Siler</DisplayName>
        <AccountId>74</AccountId>
        <AccountType/>
      </UserInfo>
      <UserInfo>
        <DisplayName>Anthony Frediani</DisplayName>
        <AccountId>604</AccountId>
        <AccountType/>
      </UserInfo>
      <UserInfo>
        <DisplayName>Brian Luptak</DisplayName>
        <AccountId>80</AccountId>
        <AccountType/>
      </UserInfo>
      <UserInfo>
        <DisplayName>Joe Robinson</DisplayName>
        <AccountId>257</AccountId>
        <AccountType/>
      </UserInfo>
      <UserInfo>
        <DisplayName>Keith Scott</DisplayName>
        <AccountId>76</AccountId>
        <AccountType/>
      </UserInfo>
      <UserInfo>
        <DisplayName>Markian Duma</DisplayName>
        <AccountId>268</AccountId>
        <AccountType/>
      </UserInfo>
      <UserInfo>
        <DisplayName>Mike Hutchinson</DisplayName>
        <AccountId>77</AccountId>
        <AccountType/>
      </UserInfo>
      <UserInfo>
        <DisplayName>Ryan Gerulski</DisplayName>
        <AccountId>267</AccountId>
        <AccountType/>
      </UserInfo>
      <UserInfo>
        <DisplayName>Ryan Rudd</DisplayName>
        <AccountId>79</AccountId>
        <AccountType/>
      </UserInfo>
      <UserInfo>
        <DisplayName>Jordan Jaecks</DisplayName>
        <AccountId>98</AccountId>
        <AccountType/>
      </UserInfo>
      <UserInfo>
        <DisplayName>Megan Schroeder</DisplayName>
        <AccountId>290</AccountId>
        <AccountType/>
      </UserInfo>
      <UserInfo>
        <DisplayName>Mary Preuss</DisplayName>
        <AccountId>401</AccountId>
        <AccountType/>
      </UserInfo>
      <UserInfo>
        <DisplayName>Dave Southworth</DisplayName>
        <AccountId>37</AccountId>
        <AccountType/>
      </UserInfo>
      <UserInfo>
        <DisplayName>Corey Dobbs</DisplayName>
        <AccountId>529</AccountId>
        <AccountType/>
      </UserInfo>
      <UserInfo>
        <DisplayName>Chris Daniluk</DisplayName>
        <AccountId>71</AccountId>
        <AccountType/>
      </UserInfo>
      <UserInfo>
        <DisplayName>Ron Malcolm</DisplayName>
        <AccountId>204</AccountId>
        <AccountType/>
      </UserInfo>
    </SharedWithUsers>
    <LastUpdated xmlns="83fa0e72-4838-4c87-ade5-9d74fac4b7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6135FA9945AA49998E56655CA19758" ma:contentTypeVersion="19" ma:contentTypeDescription="Create a new document." ma:contentTypeScope="" ma:versionID="ecc61db30da13154a195662664770127">
  <xsd:schema xmlns:xsd="http://www.w3.org/2001/XMLSchema" xmlns:xs="http://www.w3.org/2001/XMLSchema" xmlns:p="http://schemas.microsoft.com/office/2006/metadata/properties" xmlns:ns2="83fa0e72-4838-4c87-ade5-9d74fac4b7f1" xmlns:ns3="224ab14d-b369-44bc-b3fc-8290e3e5c9fd" targetNamespace="http://schemas.microsoft.com/office/2006/metadata/properties" ma:root="true" ma:fieldsID="0312bce1c0efc6e986267378fe8146d4" ns2:_="" ns3:_="">
    <xsd:import namespace="83fa0e72-4838-4c87-ade5-9d74fac4b7f1"/>
    <xsd:import namespace="224ab14d-b369-44bc-b3fc-8290e3e5c9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  <xsd:element ref="ns2:LastUpd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a0e72-4838-4c87-ade5-9d74fac4b7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fc31650-5529-4f7d-b56d-6560d5929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Updated" ma:index="24" nillable="true" ma:displayName="Last Updated" ma:format="Dropdown" ma:internalName="LastUpdate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4ab14d-b369-44bc-b3fc-8290e3e5c9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6a6c364-20a7-42af-862c-dc0a1fc9037f}" ma:internalName="TaxCatchAll" ma:showField="CatchAllData" ma:web="224ab14d-b369-44bc-b3fc-8290e3e5c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753433-8772-4A02-9846-3D24210F8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42006-1D58-4F9E-91DE-E6850682C173}">
  <ds:schemaRefs>
    <ds:schemaRef ds:uri="83fa0e72-4838-4c87-ade5-9d74fac4b7f1"/>
    <ds:schemaRef ds:uri="http://schemas.microsoft.com/office/2006/documentManagement/types"/>
    <ds:schemaRef ds:uri="224ab14d-b369-44bc-b3fc-8290e3e5c9fd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3B95257-FB04-42B1-8130-30C4003BE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a0e72-4838-4c87-ade5-9d74fac4b7f1"/>
    <ds:schemaRef ds:uri="224ab14d-b369-44bc-b3fc-8290e3e5c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ba19210-32fa-4fbc-bd55-f9e1dc3bf117}" enabled="0" method="" siteId="{fba19210-32fa-4fbc-bd55-f9e1dc3bf1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Outside Sales </vt:lpstr>
      <vt:lpstr>Wausau Locations</vt:lpstr>
      <vt:lpstr>Sheet1 (2)</vt:lpstr>
      <vt:lpstr>Sheet1 (3)</vt:lpstr>
      <vt:lpstr>Outside Sales - All Info (2 (3</vt:lpstr>
      <vt:lpstr>Sheet1</vt:lpstr>
      <vt:lpstr>Outside Sales - All Info (2)</vt:lpstr>
      <vt:lpstr>'Outside Sales '!Print_Area</vt:lpstr>
      <vt:lpstr>'Outside Sales - All Info (2 (3'!Print_Area</vt:lpstr>
      <vt:lpstr>'Outside Sales - All Info (2)'!Print_Area</vt:lpstr>
      <vt:lpstr>'Outside Sales '!Print_Titles</vt:lpstr>
      <vt:lpstr>'Outside Sales - All Info (2 (3'!Print_Titles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Staff Chart</dc:title>
  <dc:subject/>
  <dc:creator>WSC Company</dc:creator>
  <cp:keywords/>
  <dc:description/>
  <cp:lastModifiedBy>Shawn Baumbaugh</cp:lastModifiedBy>
  <cp:revision/>
  <dcterms:created xsi:type="dcterms:W3CDTF">2009-11-23T22:15:44Z</dcterms:created>
  <dcterms:modified xsi:type="dcterms:W3CDTF">2025-11-03T15:50:36Z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0x0101004E6135FA9945AA49998E56655CA19758</vt:lpwstr>
  </property>
  <property fmtid="{D5CDD505-2E9C-101B-9397-08002B2CF9AE}" pid="3" name="_dlc_DocIdItemGuid">
    <vt:lpwstr>d4c6133c-4a52-444c-9318-dae6f4de842e</vt:lpwstr>
  </property>
  <property fmtid="{D5CDD505-2E9C-101B-9397-08002B2CF9AE}" pid="4" name="MediaServiceImageTags">
    <vt:lpwstr/>
  </property>
</Properties>
</file>