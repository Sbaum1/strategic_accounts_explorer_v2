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baum\Strategic_Accounts_App\"/>
    </mc:Choice>
  </mc:AlternateContent>
  <xr:revisionPtr revIDLastSave="0" documentId="13_ncr:1_{073B40FB-E77C-4907-A91F-E205DFE3716E}" xr6:coauthVersionLast="47" xr6:coauthVersionMax="47" xr10:uidLastSave="{00000000-0000-0000-0000-000000000000}"/>
  <bookViews>
    <workbookView xWindow="-98" yWindow="-98" windowWidth="21795" windowHeight="14595" xr2:uid="{FD18AC00-8435-4BBE-BA7E-8DAF9C18D5C3}"/>
  </bookViews>
  <sheets>
    <sheet name="Contacts" sheetId="2" r:id="rId1"/>
  </sheets>
  <definedNames>
    <definedName name="_xlnm._FilterDatabase" localSheetId="0" hidden="1">Contacts!$P$1:$S$13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2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2" i="2"/>
</calcChain>
</file>

<file path=xl/sharedStrings.xml><?xml version="1.0" encoding="utf-8"?>
<sst xmlns="http://schemas.openxmlformats.org/spreadsheetml/2006/main" count="1474" uniqueCount="589">
  <si>
    <t>State</t>
  </si>
  <si>
    <t>WSC_Contact</t>
  </si>
  <si>
    <t>WSC_Title</t>
  </si>
  <si>
    <t>WSC_SAM</t>
  </si>
  <si>
    <t>WSC_RM</t>
  </si>
  <si>
    <t>WSC_TM</t>
  </si>
  <si>
    <t>WSC_VP_Sales</t>
  </si>
  <si>
    <t>AL</t>
  </si>
  <si>
    <t>AR</t>
  </si>
  <si>
    <t>AZ</t>
  </si>
  <si>
    <t>CO</t>
  </si>
  <si>
    <t>DE</t>
  </si>
  <si>
    <t>GA</t>
  </si>
  <si>
    <t>IA</t>
  </si>
  <si>
    <t>ID</t>
  </si>
  <si>
    <t>IL</t>
  </si>
  <si>
    <t>IN</t>
  </si>
  <si>
    <t>KS</t>
  </si>
  <si>
    <t>KY</t>
  </si>
  <si>
    <t>MD</t>
  </si>
  <si>
    <t>MI</t>
  </si>
  <si>
    <t>MN</t>
  </si>
  <si>
    <t>MO</t>
  </si>
  <si>
    <t>MT</t>
  </si>
  <si>
    <t>NC</t>
  </si>
  <si>
    <t>ND</t>
  </si>
  <si>
    <t>NE</t>
  </si>
  <si>
    <t>NJ</t>
  </si>
  <si>
    <t>NY</t>
  </si>
  <si>
    <t>OH</t>
  </si>
  <si>
    <t>PA</t>
  </si>
  <si>
    <t>SC</t>
  </si>
  <si>
    <t>SD</t>
  </si>
  <si>
    <t>TN</t>
  </si>
  <si>
    <t>UT</t>
  </si>
  <si>
    <t>WA</t>
  </si>
  <si>
    <t>WI</t>
  </si>
  <si>
    <t>Waudena</t>
  </si>
  <si>
    <t>W</t>
  </si>
  <si>
    <t>Mosinee</t>
  </si>
  <si>
    <t>152025 Starlite Drive</t>
  </si>
  <si>
    <t>715.225.2544</t>
  </si>
  <si>
    <t xml:space="preserve">Director of Sales  </t>
  </si>
  <si>
    <t>Ryan Schroeder</t>
  </si>
  <si>
    <t>ryan.schroeder@wausausupply.com</t>
  </si>
  <si>
    <t>Fond Du Lac</t>
  </si>
  <si>
    <t>W3821 Somerset Ct</t>
  </si>
  <si>
    <t>715.660.1885</t>
  </si>
  <si>
    <t>National Accounts Manager</t>
  </si>
  <si>
    <t>Steve Thielman</t>
  </si>
  <si>
    <t>Steve.Thielman@wausausupply,com</t>
  </si>
  <si>
    <t xml:space="preserve">W </t>
  </si>
  <si>
    <t xml:space="preserve">Olathe </t>
  </si>
  <si>
    <t xml:space="preserve">11028 S Barker Rd </t>
  </si>
  <si>
    <t>715.216.2795</t>
  </si>
  <si>
    <t>Devin Brady</t>
  </si>
  <si>
    <t>devin.brady@waudena.com</t>
  </si>
  <si>
    <t>Waudena Territory Manager</t>
  </si>
  <si>
    <t>Grand Rapids</t>
  </si>
  <si>
    <t>3506 Goodwood Drive SE</t>
  </si>
  <si>
    <t>715.660.8334</t>
  </si>
  <si>
    <t>William Hamlin</t>
  </si>
  <si>
    <t>bill.hamlin@waudena.com</t>
  </si>
  <si>
    <t>Omaha</t>
  </si>
  <si>
    <t>12904 Craig Street</t>
  </si>
  <si>
    <t>715.660.6772</t>
  </si>
  <si>
    <t>Tom Faber</t>
  </si>
  <si>
    <t>thomas.faber@waudena.com</t>
  </si>
  <si>
    <t>Gallatin</t>
  </si>
  <si>
    <t>278 Hutch Court</t>
  </si>
  <si>
    <t>615.961.8236</t>
  </si>
  <si>
    <t xml:space="preserve">Kyle Wray </t>
  </si>
  <si>
    <t>kyle.wray@waudena.com</t>
  </si>
  <si>
    <t>Springfield</t>
  </si>
  <si>
    <t>4606 Prairie Bluff Ave</t>
  </si>
  <si>
    <t>715.660.8229</t>
  </si>
  <si>
    <t>Taylor Nehls</t>
  </si>
  <si>
    <t>taylor.nehls@waudena.com</t>
  </si>
  <si>
    <t>Lakeville</t>
  </si>
  <si>
    <t>1605 Hudson Ave</t>
  </si>
  <si>
    <t>612.322.8393</t>
  </si>
  <si>
    <t>Don Boomsma</t>
  </si>
  <si>
    <t>donald.boomsma@waudena.com</t>
  </si>
  <si>
    <t>Mesa</t>
  </si>
  <si>
    <t>9443 E Osage Ave</t>
  </si>
  <si>
    <t>480.267.8811</t>
  </si>
  <si>
    <t>Cody Miller</t>
  </si>
  <si>
    <t>cody.miller@waudena.com</t>
  </si>
  <si>
    <t>Mount Ulla</t>
  </si>
  <si>
    <t>150 Bellinshire Dr</t>
  </si>
  <si>
    <t>980.439.4002</t>
  </si>
  <si>
    <t>Chris Logan</t>
  </si>
  <si>
    <t>christopher.logan@waudena.com</t>
  </si>
  <si>
    <t xml:space="preserve">Schofield </t>
  </si>
  <si>
    <t>2107 Fantail Ave</t>
  </si>
  <si>
    <t>715.218.4451</t>
  </si>
  <si>
    <t xml:space="preserve">Engineered Wood Products Manager </t>
  </si>
  <si>
    <t>Mitch Georg</t>
  </si>
  <si>
    <t>mitch.goerg@wausausupply.com</t>
  </si>
  <si>
    <t>Regional Business Partner</t>
  </si>
  <si>
    <t>Jordan Wagner</t>
  </si>
  <si>
    <t>B</t>
  </si>
  <si>
    <t>Racine</t>
  </si>
  <si>
    <t>2426 Rebecca Drive</t>
  </si>
  <si>
    <t>262.234.9783</t>
  </si>
  <si>
    <t>Regional Territory Manager</t>
  </si>
  <si>
    <t>Chris Hermansen</t>
  </si>
  <si>
    <t>Ryan McDermid</t>
  </si>
  <si>
    <t>chris.hermansen@wausausupply.com</t>
  </si>
  <si>
    <t>WSC</t>
  </si>
  <si>
    <t>Green Bay</t>
  </si>
  <si>
    <t>2309 Sunny Lane APT O</t>
  </si>
  <si>
    <t>262.220.3118</t>
  </si>
  <si>
    <t>Territory Manager</t>
  </si>
  <si>
    <t>Kathi Kampen</t>
  </si>
  <si>
    <t>Chris Berger</t>
  </si>
  <si>
    <t>Kathi.Kampen@wausausupply.com</t>
  </si>
  <si>
    <t>Tomahawk</t>
  </si>
  <si>
    <t>9637 Ross Rd.</t>
  </si>
  <si>
    <t>715.660.9172</t>
  </si>
  <si>
    <t xml:space="preserve">Territory Manager </t>
  </si>
  <si>
    <t>Rodney Fisher</t>
  </si>
  <si>
    <t>rod.fisher@wausausupply.com</t>
  </si>
  <si>
    <t>Thorp</t>
  </si>
  <si>
    <t>212 E Elm Street</t>
  </si>
  <si>
    <t>608.668.1957</t>
  </si>
  <si>
    <t>Shalom Wicks</t>
  </si>
  <si>
    <t>Collin Wuebben</t>
  </si>
  <si>
    <t>shalom.wicks@wausausupply.com</t>
  </si>
  <si>
    <t>Rice Lake</t>
  </si>
  <si>
    <t>320 Reuter Ave</t>
  </si>
  <si>
    <t>715.660.6889</t>
  </si>
  <si>
    <t>Thomas Featherly</t>
  </si>
  <si>
    <t>thomas.featherly@wausausupply.com</t>
  </si>
  <si>
    <t>Brookfield</t>
  </si>
  <si>
    <t>20260 Linden Ln</t>
  </si>
  <si>
    <t>414.356.3448</t>
  </si>
  <si>
    <t>Andrew Kindernan</t>
  </si>
  <si>
    <t>Andrew.Kinderman@wausausupply.com</t>
  </si>
  <si>
    <t>Waunakee</t>
  </si>
  <si>
    <t xml:space="preserve">WI </t>
  </si>
  <si>
    <t>5521 Shamrock Road</t>
  </si>
  <si>
    <t>608.852.5041</t>
  </si>
  <si>
    <t>Breton Nylen</t>
  </si>
  <si>
    <t>Breton.Nylen@wausausupply.com</t>
  </si>
  <si>
    <t>Negaunee</t>
  </si>
  <si>
    <t>466 County Road 510</t>
  </si>
  <si>
    <t>906.362.7398</t>
  </si>
  <si>
    <t>Gary Penhale</t>
  </si>
  <si>
    <t>gary.penhale@wausausupply.com</t>
  </si>
  <si>
    <t>Kenosha</t>
  </si>
  <si>
    <t>524 70th St</t>
  </si>
  <si>
    <t>262.909.0297</t>
  </si>
  <si>
    <t>Ryan.McDermid@wausausupply.com</t>
  </si>
  <si>
    <t>Wausau</t>
  </si>
  <si>
    <t>830 Steuben Street</t>
  </si>
  <si>
    <t>715.301.6124</t>
  </si>
  <si>
    <t>chris.berger@wausausupply.com</t>
  </si>
  <si>
    <t>Fall Creek</t>
  </si>
  <si>
    <t>242 E Tyler Avenue</t>
  </si>
  <si>
    <t>715.393.7754</t>
  </si>
  <si>
    <t>Collin.Wuebben@wausausupply.com</t>
  </si>
  <si>
    <t>Max Hammerstrom</t>
  </si>
  <si>
    <t>Max.Hammerstrom@wausausupply.com</t>
  </si>
  <si>
    <t>C</t>
  </si>
  <si>
    <t>Billings</t>
  </si>
  <si>
    <t>2003 Lake Hills Dr</t>
  </si>
  <si>
    <t>406.451.6337</t>
  </si>
  <si>
    <t>Dalton Lemburg</t>
  </si>
  <si>
    <t>Chad Lemburg</t>
  </si>
  <si>
    <t>dalton.lemburg@wausausupply.com</t>
  </si>
  <si>
    <t>Valley City</t>
  </si>
  <si>
    <t>731 5th Avenue NW</t>
  </si>
  <si>
    <t>715.225.0022</t>
  </si>
  <si>
    <t>Ryan Froemke</t>
  </si>
  <si>
    <t>ryan.froemke@wausausupply.com</t>
  </si>
  <si>
    <t>Scottsbluff</t>
  </si>
  <si>
    <t>1518 Mockingbird Dr</t>
  </si>
  <si>
    <t>715.218.6006</t>
  </si>
  <si>
    <t>Micah Browning</t>
  </si>
  <si>
    <t xml:space="preserve">Andrew Stuart 
(Cheyenne, WY Only) </t>
  </si>
  <si>
    <t>micah.browning@wausausupply.com</t>
  </si>
  <si>
    <t>Denver</t>
  </si>
  <si>
    <t>3924 Newton St</t>
  </si>
  <si>
    <t>303.264.8721</t>
  </si>
  <si>
    <t>Danny Taylor</t>
  </si>
  <si>
    <t>Andrew Stuart</t>
  </si>
  <si>
    <t>daniel.taylor@wausausupply.com</t>
  </si>
  <si>
    <t>Parker</t>
  </si>
  <si>
    <t>5188 Horned Owl Way</t>
  </si>
  <si>
    <t>303.519.3642</t>
  </si>
  <si>
    <t>Graig Sells</t>
  </si>
  <si>
    <t>Kevin Muller</t>
  </si>
  <si>
    <t>graig.sells@wausausupply.com</t>
  </si>
  <si>
    <t>Rapid City</t>
  </si>
  <si>
    <t>5053 Shelby Ave, Apt 101</t>
  </si>
  <si>
    <t>605.608.0576</t>
  </si>
  <si>
    <t>Josh Moller</t>
  </si>
  <si>
    <t>josh.moller@wausausupply.com</t>
  </si>
  <si>
    <t>Mack</t>
  </si>
  <si>
    <t>834 R Rd</t>
  </si>
  <si>
    <t>970-822-2852</t>
  </si>
  <si>
    <t>Kelly Hardrick</t>
  </si>
  <si>
    <t>Andrew Stuart &amp; 
Kevin Muller</t>
  </si>
  <si>
    <t>kelly.hardrick@wausausupply.com</t>
  </si>
  <si>
    <t>2081 Lake Hills Dr</t>
  </si>
  <si>
    <t>406.320.2252</t>
  </si>
  <si>
    <t>chad.lemburg@wausausupply.com</t>
  </si>
  <si>
    <t>2804 Roslyn Street, Unit #1</t>
  </si>
  <si>
    <t>303.550.6569</t>
  </si>
  <si>
    <t>andrew.stuart@wausausupply.com</t>
  </si>
  <si>
    <t>Aurora</t>
  </si>
  <si>
    <t>14353 E 1st Dr, Unit 206</t>
  </si>
  <si>
    <t>719-680-1281</t>
  </si>
  <si>
    <t>kevin.muller@dksiding.com</t>
  </si>
  <si>
    <t>Paul Schuh</t>
  </si>
  <si>
    <t>paul.schuh@wausausupply.com</t>
  </si>
  <si>
    <t>D</t>
  </si>
  <si>
    <t>Dixon</t>
  </si>
  <si>
    <t>5003 306th St</t>
  </si>
  <si>
    <t>715.660.1077</t>
  </si>
  <si>
    <t>Bradley Moeller</t>
  </si>
  <si>
    <t>Nate Prehm</t>
  </si>
  <si>
    <t>Bradley.Moeller@wausausupply.com</t>
  </si>
  <si>
    <t>West Des Moines</t>
  </si>
  <si>
    <t>1235 65th Pl</t>
  </si>
  <si>
    <t>715.350.0430</t>
  </si>
  <si>
    <t>Jacob Cabbage</t>
  </si>
  <si>
    <t>jacob.cabbage@wausausupply.com</t>
  </si>
  <si>
    <t>Shell Rock</t>
  </si>
  <si>
    <t>206 Harvest Lane</t>
  </si>
  <si>
    <t>715.297.3146</t>
  </si>
  <si>
    <t>Sam Noel</t>
  </si>
  <si>
    <t>samuel.noel@wausausupply.com</t>
  </si>
  <si>
    <t>Forest Park</t>
  </si>
  <si>
    <t>613 Grove Lane</t>
  </si>
  <si>
    <t>715.350.9091</t>
  </si>
  <si>
    <t>Stephen Frueh</t>
  </si>
  <si>
    <t>Brian Stanislavski</t>
  </si>
  <si>
    <t>stephen.frueh@wausausupply.com</t>
  </si>
  <si>
    <t>Westmont</t>
  </si>
  <si>
    <t>301 Deming Place</t>
  </si>
  <si>
    <t>715.527.8657</t>
  </si>
  <si>
    <t>Kathy Wesolowski</t>
  </si>
  <si>
    <t>katarzyna.wesolowski@wausausupply.com</t>
  </si>
  <si>
    <t>Hudson</t>
  </si>
  <si>
    <t>7263 Hudson Heights</t>
  </si>
  <si>
    <t>715.350.0080</t>
  </si>
  <si>
    <t>nathan.prehm@dksiding.com</t>
  </si>
  <si>
    <t>St.John</t>
  </si>
  <si>
    <t>12503 W 102nd Ave</t>
  </si>
  <si>
    <t>312.339.6569</t>
  </si>
  <si>
    <t>brian.stanislavski@dksiding.com</t>
  </si>
  <si>
    <t>F</t>
  </si>
  <si>
    <t>Lincoln</t>
  </si>
  <si>
    <t>6728 Glass Ridge Dr</t>
  </si>
  <si>
    <t>402.658.9213</t>
  </si>
  <si>
    <t>Allan McGill</t>
  </si>
  <si>
    <t>Eric Bond</t>
  </si>
  <si>
    <t>allan.mcgill@wausausupply.com</t>
  </si>
  <si>
    <t>Tyro</t>
  </si>
  <si>
    <t xml:space="preserve">404 N. 1st </t>
  </si>
  <si>
    <t>662.679.0408</t>
  </si>
  <si>
    <t>Nick Cunningham</t>
  </si>
  <si>
    <t>Chad Jenkins</t>
  </si>
  <si>
    <t>nick.cunningham@wausausupply.com</t>
  </si>
  <si>
    <t>Hickman</t>
  </si>
  <si>
    <t>107 Park Drive Place</t>
  </si>
  <si>
    <t>402.681.5502</t>
  </si>
  <si>
    <t>eric.bond@wausausupply.com</t>
  </si>
  <si>
    <t>Marshfield</t>
  </si>
  <si>
    <t>1528 N Marshall St</t>
  </si>
  <si>
    <t>715.577.0142</t>
  </si>
  <si>
    <t>Betty Jester</t>
  </si>
  <si>
    <t>Greg Wilcox</t>
  </si>
  <si>
    <t>betty.jester@wausausupply.com</t>
  </si>
  <si>
    <t>Saint Paul</t>
  </si>
  <si>
    <t>3035 Eagle Branch Circle</t>
  </si>
  <si>
    <t>636.445.4305</t>
  </si>
  <si>
    <t>Jon Strini</t>
  </si>
  <si>
    <t>jonathan.strini@wausausupply.com</t>
  </si>
  <si>
    <t>Highland</t>
  </si>
  <si>
    <t>25 Blue Bell Ln</t>
  </si>
  <si>
    <t>314.399.2690</t>
  </si>
  <si>
    <t>Jason Kell</t>
  </si>
  <si>
    <t>jason.kell@wausausupply.com</t>
  </si>
  <si>
    <t xml:space="preserve">Caulfield </t>
  </si>
  <si>
    <t xml:space="preserve">2530 CR 7360 </t>
  </si>
  <si>
    <t>612.760.2298</t>
  </si>
  <si>
    <t>Andrew Corey</t>
  </si>
  <si>
    <t>andrew.corey@wausausupply.com</t>
  </si>
  <si>
    <t xml:space="preserve">Harrison </t>
  </si>
  <si>
    <t>500 S Birch St</t>
  </si>
  <si>
    <t>870-243-8893</t>
  </si>
  <si>
    <t>Carson Jenkins</t>
  </si>
  <si>
    <t>carson.jenkins@wausausupply.com</t>
  </si>
  <si>
    <t>501.690.4339</t>
  </si>
  <si>
    <t>chad.jenkins@wausausupply.com</t>
  </si>
  <si>
    <t>Jordan Plehal</t>
  </si>
  <si>
    <t>I</t>
  </si>
  <si>
    <t>Elko New Market</t>
  </si>
  <si>
    <t>9409 Glenborough Dr</t>
  </si>
  <si>
    <t>715.350.1591</t>
  </si>
  <si>
    <t>Greg Hillesheim</t>
  </si>
  <si>
    <t>Patrick Welch</t>
  </si>
  <si>
    <t>greg.hillsheim@wausausupply.com</t>
  </si>
  <si>
    <t>Bluffton</t>
  </si>
  <si>
    <t>130 Leaf River Road</t>
  </si>
  <si>
    <t>715.218.8182</t>
  </si>
  <si>
    <t>Jason Kenney</t>
  </si>
  <si>
    <t>jason.kenney@wausausupply.com</t>
  </si>
  <si>
    <t>Otsego</t>
  </si>
  <si>
    <t xml:space="preserve">7222 Marquette Ave NE </t>
  </si>
  <si>
    <t>612-246-5492</t>
  </si>
  <si>
    <t>Calvin Pehle</t>
  </si>
  <si>
    <t>Calvin.Pehle@wausausupply.com</t>
  </si>
  <si>
    <t>Carroll</t>
  </si>
  <si>
    <t>1551 Oakwood Drive</t>
  </si>
  <si>
    <t>605.850.9702</t>
  </si>
  <si>
    <t>Tommy Carrigan</t>
  </si>
  <si>
    <t>Matt Sobocinski</t>
  </si>
  <si>
    <t>tommy.carrigan@wausausupply.com</t>
  </si>
  <si>
    <t>Lake City</t>
  </si>
  <si>
    <t xml:space="preserve">1352 N 10th St </t>
  </si>
  <si>
    <t>715.218.8160</t>
  </si>
  <si>
    <t>Tamara Lewey</t>
  </si>
  <si>
    <t>tamara.lewey@wausausupply.com</t>
  </si>
  <si>
    <t>Detroit Lakes</t>
  </si>
  <si>
    <t>23872 County Road 144</t>
  </si>
  <si>
    <t>715.660.0465</t>
  </si>
  <si>
    <t>Justin Evans</t>
  </si>
  <si>
    <t>justin.evans@wausausupply.com</t>
  </si>
  <si>
    <t>Ramsey</t>
  </si>
  <si>
    <t>6480 153rd Way NW</t>
  </si>
  <si>
    <t>715.383.9066</t>
  </si>
  <si>
    <t>patrick.welch@wausausupply.com</t>
  </si>
  <si>
    <t xml:space="preserve">Brandon </t>
  </si>
  <si>
    <t xml:space="preserve">1113 E Beechnut St </t>
  </si>
  <si>
    <t>605-351-5876</t>
  </si>
  <si>
    <t>Matthew.Sobocinski@dksiding.com</t>
  </si>
  <si>
    <t>Marathon</t>
  </si>
  <si>
    <t>222944 Grentree Road</t>
  </si>
  <si>
    <t>Keith Seubert</t>
  </si>
  <si>
    <t>Keith.Seubert@wausausupply.com</t>
  </si>
  <si>
    <t>K</t>
  </si>
  <si>
    <t>Post Falls</t>
  </si>
  <si>
    <t>316 W Tennessee Ave</t>
  </si>
  <si>
    <t>715.660.6721</t>
  </si>
  <si>
    <t>Bryan Davis</t>
  </si>
  <si>
    <t>Brandon O'Neil</t>
  </si>
  <si>
    <t>bryan.davis@wausausupply.com</t>
  </si>
  <si>
    <t>Draper</t>
  </si>
  <si>
    <t>14351 Bridgefield Drive</t>
  </si>
  <si>
    <t>385.272.5112</t>
  </si>
  <si>
    <t>Kerry Jones</t>
  </si>
  <si>
    <t>Todd Memmott</t>
  </si>
  <si>
    <t>kerry.jones@wausausupply.com</t>
  </si>
  <si>
    <t>Butte</t>
  </si>
  <si>
    <t>760 Sugarloaf Loop</t>
  </si>
  <si>
    <t>406.224.1485</t>
  </si>
  <si>
    <t>Sammy Saunders</t>
  </si>
  <si>
    <t>Pete Tompers</t>
  </si>
  <si>
    <t>sammy.saunders@wausausupply.com</t>
  </si>
  <si>
    <t>Idaho Falls</t>
  </si>
  <si>
    <t>3580 W. Broadway St</t>
  </si>
  <si>
    <t>208.419.9222</t>
  </si>
  <si>
    <t>Tristan Drollinger</t>
  </si>
  <si>
    <t>OPEN POSITION</t>
  </si>
  <si>
    <t>tristan.drollinger@wausausupply.com</t>
  </si>
  <si>
    <t>Missoula</t>
  </si>
  <si>
    <t>3075 Rustler Dr</t>
  </si>
  <si>
    <t>406.481.4036</t>
  </si>
  <si>
    <t>Brian Kneiper</t>
  </si>
  <si>
    <t>brian.kneiper@wausausupply.com</t>
  </si>
  <si>
    <t>Layton</t>
  </si>
  <si>
    <t xml:space="preserve">173 S Angel St. </t>
  </si>
  <si>
    <t>801.516.8240</t>
  </si>
  <si>
    <t>Bert Baron</t>
  </si>
  <si>
    <t>bert.baron@wausausupply.com</t>
  </si>
  <si>
    <t>Bountiful</t>
  </si>
  <si>
    <t>1807 S. Lake Crest Road</t>
  </si>
  <si>
    <t>801.560.4996</t>
  </si>
  <si>
    <t>todd.memmott@wausausupply.com</t>
  </si>
  <si>
    <t>Spokane</t>
  </si>
  <si>
    <t>4206 W. Ballard Road</t>
  </si>
  <si>
    <t>509.723.6008</t>
  </si>
  <si>
    <t>brandon.oneil@wausausupply.com</t>
  </si>
  <si>
    <t>Great Falls</t>
  </si>
  <si>
    <t>10 Stonegate Road</t>
  </si>
  <si>
    <t>406.868.6905</t>
  </si>
  <si>
    <t>pete.tompers@wausausupply.com</t>
  </si>
  <si>
    <t>209 Tuzigoot Lane</t>
  </si>
  <si>
    <t>920.737.5857</t>
  </si>
  <si>
    <t>Nick Beauchamp</t>
  </si>
  <si>
    <t>Nick.Beauchamp@wausausupply.com</t>
  </si>
  <si>
    <t>L</t>
  </si>
  <si>
    <t>Noblesville</t>
  </si>
  <si>
    <t>5099 Pine Hill Drive</t>
  </si>
  <si>
    <t>Nicole Schwedler</t>
  </si>
  <si>
    <t xml:space="preserve">John Babcock </t>
  </si>
  <si>
    <t>Nicole.Schwedler@wausausupply.com</t>
  </si>
  <si>
    <t>Ellettsville</t>
  </si>
  <si>
    <t>7090 West Maple Grove Rd.</t>
  </si>
  <si>
    <t>812.320.8514</t>
  </si>
  <si>
    <t>Ryan Edwards</t>
  </si>
  <si>
    <t>OPEN</t>
  </si>
  <si>
    <t>Ryan.Edwards@wausausupply.com</t>
  </si>
  <si>
    <t>Capac</t>
  </si>
  <si>
    <t>16160 Donald Rd</t>
  </si>
  <si>
    <t>303.263.8486</t>
  </si>
  <si>
    <t>Brian Palmateer</t>
  </si>
  <si>
    <t>Gary Moore</t>
  </si>
  <si>
    <t>brian.palmateer@wausausupply.com</t>
  </si>
  <si>
    <t xml:space="preserve">Gaylord </t>
  </si>
  <si>
    <t>4461 Lake Manuka Rd</t>
  </si>
  <si>
    <t>989.491.7221</t>
  </si>
  <si>
    <t>Stephanie Taylor</t>
  </si>
  <si>
    <t>Tim Weismiller</t>
  </si>
  <si>
    <t>stephanie.taylor@wausausupply.com</t>
  </si>
  <si>
    <t>Romeo</t>
  </si>
  <si>
    <t>163 West Saint Clair Street</t>
  </si>
  <si>
    <t>248.563.8146</t>
  </si>
  <si>
    <t>John Hotter</t>
  </si>
  <si>
    <t>john.hotter@wausausupply.com</t>
  </si>
  <si>
    <t>Kent</t>
  </si>
  <si>
    <t>985 Red Fern Circle</t>
  </si>
  <si>
    <t>330.221.2399</t>
  </si>
  <si>
    <t>David Carbone</t>
  </si>
  <si>
    <t>Dave Carbone</t>
  </si>
  <si>
    <t>dave.carbone@wausausupply.com</t>
  </si>
  <si>
    <t>Columbus</t>
  </si>
  <si>
    <t>1358 Bayshore Dr. Apt 2a</t>
  </si>
  <si>
    <t>614.257.7011</t>
  </si>
  <si>
    <t>Marvin Dockstader</t>
  </si>
  <si>
    <t>N/A</t>
  </si>
  <si>
    <t>Marvin.Dockstader@wausausupply.com</t>
  </si>
  <si>
    <t>Gaylord</t>
  </si>
  <si>
    <t>5315 West Otsego Lake Drive</t>
  </si>
  <si>
    <t>989.370.4519</t>
  </si>
  <si>
    <t xml:space="preserve">Tim.weismiller@wausausupply.com  </t>
  </si>
  <si>
    <t>Carmel</t>
  </si>
  <si>
    <t>6 Shady Lane</t>
  </si>
  <si>
    <t>317.771.5109</t>
  </si>
  <si>
    <t>John Babcock</t>
  </si>
  <si>
    <t>john.babcock@wausausupply.com</t>
  </si>
  <si>
    <t>North Canton</t>
  </si>
  <si>
    <t>1112 Linwwod Ave. SW</t>
  </si>
  <si>
    <t>330.472.7735</t>
  </si>
  <si>
    <t>Michael Stratton</t>
  </si>
  <si>
    <t>Michael.Stratton@dksiding.com</t>
  </si>
  <si>
    <t>Olivet</t>
  </si>
  <si>
    <t>5469 Griffin Hwy</t>
  </si>
  <si>
    <t>989.294.0189</t>
  </si>
  <si>
    <t>Gary.Moore@wausausupply.com</t>
  </si>
  <si>
    <t>Antigo</t>
  </si>
  <si>
    <t>N614 Carley Rd</t>
  </si>
  <si>
    <t>715.573.9536</t>
  </si>
  <si>
    <t>Megan Eno</t>
  </si>
  <si>
    <t>megan.eno@wausausupply.com</t>
  </si>
  <si>
    <t>H</t>
  </si>
  <si>
    <t>Murfreesboro</t>
  </si>
  <si>
    <t>4113 Bungee Way</t>
  </si>
  <si>
    <t>629-395-2735</t>
  </si>
  <si>
    <t>Christopher Hudson</t>
  </si>
  <si>
    <t>Jacob Murray</t>
  </si>
  <si>
    <t>christopher.hudson@wausausupply.com</t>
  </si>
  <si>
    <t>Birmingham</t>
  </si>
  <si>
    <t>2028 Shandwick Terrace</t>
  </si>
  <si>
    <t>205.962.6913</t>
  </si>
  <si>
    <t>Lane Draper</t>
  </si>
  <si>
    <t>Chad Kempfer</t>
  </si>
  <si>
    <t>Lane.Draper@wausausupply.com</t>
  </si>
  <si>
    <t>Knoxville</t>
  </si>
  <si>
    <t>1520 Pine Springs Rd</t>
  </si>
  <si>
    <t>865-210-2847</t>
  </si>
  <si>
    <t>Lori Bryant</t>
  </si>
  <si>
    <t>Terry Brown</t>
  </si>
  <si>
    <t>lori.bryant@wausausupply.com</t>
  </si>
  <si>
    <t>Lexington</t>
  </si>
  <si>
    <t>5505 S 850 W</t>
  </si>
  <si>
    <t>812.230.6775</t>
  </si>
  <si>
    <t>Jim Allman</t>
  </si>
  <si>
    <t>James Crutcher</t>
  </si>
  <si>
    <t>jim.allman@wausausupply.com</t>
  </si>
  <si>
    <t>Chattanooga</t>
  </si>
  <si>
    <t>5400 Kimbro St.</t>
  </si>
  <si>
    <t>470-222-9300</t>
  </si>
  <si>
    <t>Shana Cooper</t>
  </si>
  <si>
    <t>Andy Chambers</t>
  </si>
  <si>
    <t>Shana.Cooper@wausausupply.com</t>
  </si>
  <si>
    <t>Dowelltown</t>
  </si>
  <si>
    <t xml:space="preserve">600 East Main St. </t>
  </si>
  <si>
    <t>615.418.1186</t>
  </si>
  <si>
    <t>Siding Specialist</t>
  </si>
  <si>
    <t>jacob.murray@wausausupply.com</t>
  </si>
  <si>
    <t>Woodstock</t>
  </si>
  <si>
    <t>1132 Hunters Geln Dr</t>
  </si>
  <si>
    <t>andrew.chambers@wausausupply.com</t>
  </si>
  <si>
    <t>McDaniels</t>
  </si>
  <si>
    <t>2924 Cannons Pt Ln</t>
  </si>
  <si>
    <t>715.660.6924</t>
  </si>
  <si>
    <t>James.Crutcher@wausausupply.com</t>
  </si>
  <si>
    <t>Guntersville</t>
  </si>
  <si>
    <t>409 Manchester Dr</t>
  </si>
  <si>
    <t>256.444.5591</t>
  </si>
  <si>
    <t>Chad.Kempfer@dksiding.com</t>
  </si>
  <si>
    <t>Corryton</t>
  </si>
  <si>
    <t>7301 Washington Pike</t>
  </si>
  <si>
    <t>865.243.7075</t>
  </si>
  <si>
    <t>Terry.Brown@wausausupply.com</t>
  </si>
  <si>
    <t>N</t>
  </si>
  <si>
    <t>Ballston Spa</t>
  </si>
  <si>
    <t>56 Skylark Dr</t>
  </si>
  <si>
    <t>518.948.7030</t>
  </si>
  <si>
    <t>Aaron Foreman</t>
  </si>
  <si>
    <t>aaron.foreman@wausausupply.com</t>
  </si>
  <si>
    <t>Bel Air</t>
  </si>
  <si>
    <t>304 Cheshire Ln</t>
  </si>
  <si>
    <t>410-375-6617</t>
  </si>
  <si>
    <t>Matt Barnes</t>
  </si>
  <si>
    <t>matt.barnes@wausausupply.com</t>
  </si>
  <si>
    <t>Rockaway</t>
  </si>
  <si>
    <t>106 Woodstone Rd</t>
  </si>
  <si>
    <t>973-274-5401</t>
  </si>
  <si>
    <t>Jennifer Hollstein</t>
  </si>
  <si>
    <t>jennifer.hollstein@wausausupply.com</t>
  </si>
  <si>
    <t>Pennsburg</t>
  </si>
  <si>
    <t>1065 E 11th st</t>
  </si>
  <si>
    <t>267.443.8084</t>
  </si>
  <si>
    <t>Jeffrey Kahler</t>
  </si>
  <si>
    <t>Jeffrey.Kahler@wausausupply.com</t>
  </si>
  <si>
    <t>Dallas</t>
  </si>
  <si>
    <t>339 Machell Ave</t>
  </si>
  <si>
    <t>272-892-0871</t>
  </si>
  <si>
    <t>Omar Nijmeh</t>
  </si>
  <si>
    <t>omar.nijmeh@wausausupply.com</t>
  </si>
  <si>
    <t>Syracuse</t>
  </si>
  <si>
    <t>5057 Kasson Road</t>
  </si>
  <si>
    <t>315.720.7631</t>
  </si>
  <si>
    <t>Brian Gates</t>
  </si>
  <si>
    <t>Brian.Gates@wausausupply.com</t>
  </si>
  <si>
    <t xml:space="preserve">Middletown </t>
  </si>
  <si>
    <t>638 Warren Drive</t>
  </si>
  <si>
    <t>302.513.8850</t>
  </si>
  <si>
    <t>Joseph Ventura</t>
  </si>
  <si>
    <t>joseph.ventura@wausausupply.com</t>
  </si>
  <si>
    <t>McMurray</t>
  </si>
  <si>
    <t>172 Druid Dr</t>
  </si>
  <si>
    <t>724.787.2984</t>
  </si>
  <si>
    <t>Mike Ulf</t>
  </si>
  <si>
    <t>michael.ulf@wausausupply.com</t>
  </si>
  <si>
    <t>M</t>
  </si>
  <si>
    <t>jordan.plehal@wausausupply.com</t>
  </si>
  <si>
    <t>Chapin</t>
  </si>
  <si>
    <t>114 Bowyer Ln.</t>
  </si>
  <si>
    <t>803.722.9345</t>
  </si>
  <si>
    <t>Allen Sizemore</t>
  </si>
  <si>
    <t>Craig Anglemyer</t>
  </si>
  <si>
    <t>allen.sizemore@wausausupply.com</t>
  </si>
  <si>
    <t>704-936-9135</t>
  </si>
  <si>
    <t>Diane Vena/Velasquez</t>
  </si>
  <si>
    <t>Elijah Geisler</t>
  </si>
  <si>
    <t>Diane.Velasquez@wausausupply.com</t>
  </si>
  <si>
    <t>980-214-9505</t>
  </si>
  <si>
    <t>Lori Plesser</t>
  </si>
  <si>
    <t>Doug Diebolt</t>
  </si>
  <si>
    <t>lori.plesser@wausausupply.com</t>
  </si>
  <si>
    <t>Blythewood</t>
  </si>
  <si>
    <t>7 Richmond Ln.</t>
  </si>
  <si>
    <t>839.223.3524</t>
  </si>
  <si>
    <t>craig.anglemyer@dksiding.com</t>
  </si>
  <si>
    <t>elijah.geisler@dksiding.com</t>
  </si>
  <si>
    <t>WSC_Director</t>
  </si>
  <si>
    <t>City</t>
  </si>
  <si>
    <t>Add</t>
  </si>
  <si>
    <t>PH</t>
  </si>
  <si>
    <t>Ryan Gerulski</t>
  </si>
  <si>
    <t>Keith Scott</t>
  </si>
  <si>
    <t>David Zelch</t>
  </si>
  <si>
    <t>Waudena_NAM</t>
  </si>
  <si>
    <t>Waudena_TM</t>
  </si>
  <si>
    <t>NA</t>
  </si>
  <si>
    <t>Waudena_Director</t>
  </si>
  <si>
    <t>RBP</t>
  </si>
  <si>
    <t>Email</t>
  </si>
  <si>
    <t>WSC_SS</t>
  </si>
  <si>
    <t>ZIP</t>
  </si>
  <si>
    <t>Business Unit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</si>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</sst>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D975AB1-2E1A-4D80-B8F3-75CA29A6A2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64F66-0508-4D28-8BB4-0B31FC75E7BD}">
  <dimension ref="A1:AA113"/>
  <sheetViews>
    <sheetView tabSelected="1" workbookViewId="0">
      <selection activeCell="AA1" sqref="AA1:AB1048576"/>
    </sheetView>
  </sheetViews>
  <sheetFormatPr defaultRowHeight="14.25" x14ac:dyDescent="0.45"/>
  <cols>
    <col min="1" max="1" width="9.53125" customWidth="1"/>
    <col min="2" max="2" width="18.1328125" bestFit="1" customWidth="1"/>
    <col min="3" max="3" width="29.3984375" bestFit="1" customWidth="1"/>
    <col min="4" max="5" width="9.53125" customWidth="1"/>
    <col min="6" max="10" width="9" customWidth="1"/>
    <col min="11" max="11" width="18.1328125" bestFit="1" customWidth="1"/>
    <col min="12" max="12" width="9" customWidth="1"/>
    <col min="13" max="16" width="6.46484375" customWidth="1"/>
    <col min="17" max="17" width="10.59765625" customWidth="1"/>
    <col min="18" max="18" width="18.73046875" customWidth="1"/>
    <col min="19" max="19" width="10.59765625" customWidth="1"/>
    <col min="20" max="20" width="34.796875" bestFit="1" customWidth="1"/>
  </cols>
  <sheetData>
    <row r="1" spans="1:27" x14ac:dyDescent="0.45">
      <c r="A1" t="s">
        <v>0</v>
      </c>
      <c r="B1" t="s">
        <v>1</v>
      </c>
      <c r="C1" t="s">
        <v>2</v>
      </c>
      <c r="D1" t="s">
        <v>583</v>
      </c>
      <c r="E1" t="s">
        <v>579</v>
      </c>
      <c r="F1" t="s">
        <v>580</v>
      </c>
      <c r="G1" t="s">
        <v>582</v>
      </c>
      <c r="H1" t="s">
        <v>3</v>
      </c>
      <c r="I1" t="s">
        <v>572</v>
      </c>
      <c r="J1" t="s">
        <v>4</v>
      </c>
      <c r="K1" t="s">
        <v>5</v>
      </c>
      <c r="L1" t="s">
        <v>585</v>
      </c>
      <c r="M1" t="s">
        <v>6</v>
      </c>
      <c r="N1" t="s">
        <v>587</v>
      </c>
      <c r="O1" t="s">
        <v>588</v>
      </c>
      <c r="P1" t="s">
        <v>573</v>
      </c>
      <c r="Q1" t="s">
        <v>574</v>
      </c>
      <c r="R1" t="s">
        <v>586</v>
      </c>
      <c r="S1" t="s">
        <v>575</v>
      </c>
      <c r="T1" t="s">
        <v>584</v>
      </c>
    </row>
    <row r="2" spans="1:27" x14ac:dyDescent="0.45">
      <c r="A2" t="s">
        <v>7</v>
      </c>
      <c r="B2" t="s">
        <v>43</v>
      </c>
      <c r="C2" t="s">
        <v>42</v>
      </c>
      <c r="D2" t="str">
        <f>IF(C2="Regional Business Partner",B2,"NA")</f>
        <v>NA</v>
      </c>
      <c r="E2" t="str">
        <f>IF(C2="National Accounts Manager",B2,"NA")</f>
        <v>NA</v>
      </c>
      <c r="F2" t="str">
        <f>IF(C2="Waudena Territory Manager",B2,"NA")</f>
        <v>NA</v>
      </c>
      <c r="G2" t="str">
        <f>B2</f>
        <v>Ryan Schroeder</v>
      </c>
      <c r="I2" t="s">
        <v>581</v>
      </c>
      <c r="K2" t="str">
        <f>IF(C2="Territory Manager",B2,"NA")</f>
        <v>NA</v>
      </c>
      <c r="L2" t="str">
        <f>IF(C2="Siding Specialist",B2,"NA")</f>
        <v>NA</v>
      </c>
      <c r="M2" t="s">
        <v>578</v>
      </c>
      <c r="N2" t="s">
        <v>37</v>
      </c>
      <c r="O2" t="s">
        <v>38</v>
      </c>
      <c r="P2" t="s">
        <v>466</v>
      </c>
      <c r="Q2" t="s">
        <v>467</v>
      </c>
      <c r="R2">
        <v>35242</v>
      </c>
      <c r="S2" t="s">
        <v>468</v>
      </c>
      <c r="T2" t="s">
        <v>44</v>
      </c>
      <c r="AA2" t="s">
        <v>41</v>
      </c>
    </row>
    <row r="3" spans="1:27" x14ac:dyDescent="0.45">
      <c r="A3" t="s">
        <v>7</v>
      </c>
      <c r="B3" t="s">
        <v>49</v>
      </c>
      <c r="C3" t="s">
        <v>48</v>
      </c>
      <c r="D3" t="str">
        <f t="shared" ref="D3:D66" si="0">IF(C3="Regional Business Partner",B3,"NA")</f>
        <v>NA</v>
      </c>
      <c r="E3" t="str">
        <f t="shared" ref="E3:E66" si="1">IF(C3="National Accounts Manager",B3,"NA")</f>
        <v>Steve Thielman</v>
      </c>
      <c r="F3" t="str">
        <f t="shared" ref="F3:F66" si="2">IF(C3="Waudena Territory Manager",B3,"NA")</f>
        <v>NA</v>
      </c>
      <c r="G3" t="s">
        <v>581</v>
      </c>
      <c r="I3" t="s">
        <v>576</v>
      </c>
      <c r="K3" t="str">
        <f t="shared" ref="K3:K66" si="3">IF(C3="Territory Manager",B3,"NA")</f>
        <v>NA</v>
      </c>
      <c r="L3" t="str">
        <f t="shared" ref="L3:L66" si="4">IF(C3="Siding Specialist",B3,"NA")</f>
        <v>NA</v>
      </c>
      <c r="M3" t="s">
        <v>578</v>
      </c>
      <c r="N3" t="s">
        <v>37</v>
      </c>
      <c r="O3" t="s">
        <v>38</v>
      </c>
      <c r="P3" t="s">
        <v>502</v>
      </c>
      <c r="Q3" t="s">
        <v>503</v>
      </c>
      <c r="R3">
        <v>35976</v>
      </c>
      <c r="S3" t="s">
        <v>504</v>
      </c>
      <c r="T3" t="s">
        <v>50</v>
      </c>
      <c r="AA3" t="s">
        <v>47</v>
      </c>
    </row>
    <row r="4" spans="1:27" x14ac:dyDescent="0.45">
      <c r="A4" t="s">
        <v>8</v>
      </c>
      <c r="B4" t="s">
        <v>55</v>
      </c>
      <c r="C4" t="s">
        <v>48</v>
      </c>
      <c r="D4" t="str">
        <f t="shared" si="0"/>
        <v>NA</v>
      </c>
      <c r="E4" t="str">
        <f t="shared" si="1"/>
        <v>Devin Brady</v>
      </c>
      <c r="F4" t="str">
        <f t="shared" si="2"/>
        <v>NA</v>
      </c>
      <c r="G4" t="s">
        <v>581</v>
      </c>
      <c r="I4" t="s">
        <v>576</v>
      </c>
      <c r="K4" t="str">
        <f t="shared" si="3"/>
        <v>NA</v>
      </c>
      <c r="L4" t="str">
        <f t="shared" si="4"/>
        <v>NA</v>
      </c>
      <c r="M4" t="s">
        <v>578</v>
      </c>
      <c r="N4" t="s">
        <v>37</v>
      </c>
      <c r="O4" t="s">
        <v>51</v>
      </c>
      <c r="P4" t="s">
        <v>291</v>
      </c>
      <c r="Q4" t="s">
        <v>292</v>
      </c>
      <c r="R4">
        <v>72601</v>
      </c>
      <c r="S4" t="s">
        <v>293</v>
      </c>
      <c r="T4" t="s">
        <v>56</v>
      </c>
      <c r="AA4" t="s">
        <v>54</v>
      </c>
    </row>
    <row r="5" spans="1:27" x14ac:dyDescent="0.45">
      <c r="A5" t="s">
        <v>8</v>
      </c>
      <c r="B5" t="s">
        <v>49</v>
      </c>
      <c r="C5" t="s">
        <v>57</v>
      </c>
      <c r="D5" t="str">
        <f t="shared" si="0"/>
        <v>NA</v>
      </c>
      <c r="E5" t="str">
        <f t="shared" si="1"/>
        <v>NA</v>
      </c>
      <c r="F5" t="str">
        <f t="shared" si="2"/>
        <v>Steve Thielman</v>
      </c>
      <c r="G5" t="s">
        <v>581</v>
      </c>
      <c r="I5" t="s">
        <v>576</v>
      </c>
      <c r="K5" t="str">
        <f t="shared" si="3"/>
        <v>NA</v>
      </c>
      <c r="L5" t="str">
        <f t="shared" si="4"/>
        <v>NA</v>
      </c>
      <c r="M5" t="s">
        <v>578</v>
      </c>
      <c r="N5" t="s">
        <v>37</v>
      </c>
      <c r="O5" t="s">
        <v>38</v>
      </c>
      <c r="P5" t="s">
        <v>291</v>
      </c>
      <c r="Q5" t="s">
        <v>292</v>
      </c>
      <c r="R5">
        <v>72601</v>
      </c>
      <c r="S5" t="s">
        <v>296</v>
      </c>
      <c r="T5" t="s">
        <v>50</v>
      </c>
      <c r="AA5" t="s">
        <v>47</v>
      </c>
    </row>
    <row r="6" spans="1:27" x14ac:dyDescent="0.45">
      <c r="A6" t="s">
        <v>9</v>
      </c>
      <c r="B6" t="s">
        <v>61</v>
      </c>
      <c r="C6" t="s">
        <v>57</v>
      </c>
      <c r="D6" t="str">
        <f t="shared" si="0"/>
        <v>NA</v>
      </c>
      <c r="E6" t="str">
        <f t="shared" si="1"/>
        <v>NA</v>
      </c>
      <c r="F6" t="str">
        <f t="shared" si="2"/>
        <v>William Hamlin</v>
      </c>
      <c r="G6" t="s">
        <v>581</v>
      </c>
      <c r="I6" t="s">
        <v>576</v>
      </c>
      <c r="K6" t="str">
        <f t="shared" si="3"/>
        <v>NA</v>
      </c>
      <c r="L6" t="str">
        <f t="shared" si="4"/>
        <v>NA</v>
      </c>
      <c r="M6" t="s">
        <v>578</v>
      </c>
      <c r="N6" t="s">
        <v>37</v>
      </c>
      <c r="O6" t="s">
        <v>38</v>
      </c>
      <c r="P6" t="s">
        <v>83</v>
      </c>
      <c r="Q6" t="s">
        <v>84</v>
      </c>
      <c r="R6">
        <v>85212</v>
      </c>
      <c r="S6" t="s">
        <v>85</v>
      </c>
      <c r="T6" t="s">
        <v>62</v>
      </c>
      <c r="AA6" t="s">
        <v>60</v>
      </c>
    </row>
    <row r="7" spans="1:27" x14ac:dyDescent="0.45">
      <c r="A7" t="s">
        <v>10</v>
      </c>
      <c r="B7" t="s">
        <v>66</v>
      </c>
      <c r="C7" t="s">
        <v>57</v>
      </c>
      <c r="D7" t="str">
        <f t="shared" si="0"/>
        <v>NA</v>
      </c>
      <c r="E7" t="str">
        <f t="shared" si="1"/>
        <v>NA</v>
      </c>
      <c r="F7" t="str">
        <f t="shared" si="2"/>
        <v>Tom Faber</v>
      </c>
      <c r="G7" t="s">
        <v>581</v>
      </c>
      <c r="I7" t="s">
        <v>576</v>
      </c>
      <c r="K7" t="str">
        <f t="shared" si="3"/>
        <v>NA</v>
      </c>
      <c r="L7" t="str">
        <f t="shared" si="4"/>
        <v>NA</v>
      </c>
      <c r="M7" t="s">
        <v>578</v>
      </c>
      <c r="N7" t="s">
        <v>37</v>
      </c>
      <c r="O7" t="s">
        <v>38</v>
      </c>
      <c r="P7" t="s">
        <v>182</v>
      </c>
      <c r="Q7" t="s">
        <v>183</v>
      </c>
      <c r="R7">
        <v>80211</v>
      </c>
      <c r="S7" t="s">
        <v>184</v>
      </c>
      <c r="T7" t="s">
        <v>67</v>
      </c>
      <c r="AA7" t="s">
        <v>65</v>
      </c>
    </row>
    <row r="8" spans="1:27" x14ac:dyDescent="0.45">
      <c r="A8" t="s">
        <v>10</v>
      </c>
      <c r="B8" t="s">
        <v>71</v>
      </c>
      <c r="C8" t="s">
        <v>57</v>
      </c>
      <c r="D8" t="str">
        <f t="shared" si="0"/>
        <v>NA</v>
      </c>
      <c r="E8" t="str">
        <f t="shared" si="1"/>
        <v>NA</v>
      </c>
      <c r="F8" t="str">
        <f t="shared" si="2"/>
        <v xml:space="preserve">Kyle Wray </v>
      </c>
      <c r="G8" t="s">
        <v>581</v>
      </c>
      <c r="I8" t="s">
        <v>576</v>
      </c>
      <c r="K8" t="str">
        <f t="shared" si="3"/>
        <v>NA</v>
      </c>
      <c r="L8" t="str">
        <f t="shared" si="4"/>
        <v>NA</v>
      </c>
      <c r="M8" t="s">
        <v>578</v>
      </c>
      <c r="N8" t="s">
        <v>37</v>
      </c>
      <c r="O8" t="s">
        <v>38</v>
      </c>
      <c r="P8" t="s">
        <v>188</v>
      </c>
      <c r="Q8" t="s">
        <v>189</v>
      </c>
      <c r="R8">
        <v>80134</v>
      </c>
      <c r="S8" t="s">
        <v>190</v>
      </c>
      <c r="T8" t="s">
        <v>72</v>
      </c>
      <c r="AA8" t="s">
        <v>70</v>
      </c>
    </row>
    <row r="9" spans="1:27" x14ac:dyDescent="0.45">
      <c r="A9" t="s">
        <v>10</v>
      </c>
      <c r="B9" t="s">
        <v>76</v>
      </c>
      <c r="C9" t="s">
        <v>57</v>
      </c>
      <c r="D9" t="str">
        <f t="shared" si="0"/>
        <v>NA</v>
      </c>
      <c r="E9" t="str">
        <f t="shared" si="1"/>
        <v>NA</v>
      </c>
      <c r="F9" t="str">
        <f t="shared" si="2"/>
        <v>Taylor Nehls</v>
      </c>
      <c r="G9" t="s">
        <v>581</v>
      </c>
      <c r="I9" t="s">
        <v>576</v>
      </c>
      <c r="K9" t="str">
        <f t="shared" si="3"/>
        <v>NA</v>
      </c>
      <c r="L9" t="str">
        <f t="shared" si="4"/>
        <v>NA</v>
      </c>
      <c r="M9" t="s">
        <v>578</v>
      </c>
      <c r="N9" t="s">
        <v>37</v>
      </c>
      <c r="O9" t="s">
        <v>38</v>
      </c>
      <c r="P9" t="s">
        <v>199</v>
      </c>
      <c r="Q9" t="s">
        <v>200</v>
      </c>
      <c r="R9">
        <v>81525</v>
      </c>
      <c r="S9" t="s">
        <v>201</v>
      </c>
      <c r="T9" t="s">
        <v>77</v>
      </c>
      <c r="AA9" t="s">
        <v>75</v>
      </c>
    </row>
    <row r="10" spans="1:27" x14ac:dyDescent="0.45">
      <c r="A10" t="s">
        <v>10</v>
      </c>
      <c r="B10" t="s">
        <v>81</v>
      </c>
      <c r="C10" t="s">
        <v>57</v>
      </c>
      <c r="D10" t="str">
        <f t="shared" si="0"/>
        <v>NA</v>
      </c>
      <c r="E10" t="str">
        <f t="shared" si="1"/>
        <v>NA</v>
      </c>
      <c r="F10" t="str">
        <f t="shared" si="2"/>
        <v>Don Boomsma</v>
      </c>
      <c r="G10" t="s">
        <v>581</v>
      </c>
      <c r="I10" t="s">
        <v>576</v>
      </c>
      <c r="K10" t="str">
        <f t="shared" si="3"/>
        <v>NA</v>
      </c>
      <c r="L10" t="str">
        <f t="shared" si="4"/>
        <v>NA</v>
      </c>
      <c r="M10" t="s">
        <v>578</v>
      </c>
      <c r="N10" t="s">
        <v>37</v>
      </c>
      <c r="O10" t="s">
        <v>38</v>
      </c>
      <c r="P10" t="s">
        <v>182</v>
      </c>
      <c r="Q10" t="s">
        <v>208</v>
      </c>
      <c r="R10">
        <v>80238</v>
      </c>
      <c r="S10" t="s">
        <v>209</v>
      </c>
      <c r="T10" t="s">
        <v>82</v>
      </c>
      <c r="AA10" t="s">
        <v>80</v>
      </c>
    </row>
    <row r="11" spans="1:27" x14ac:dyDescent="0.45">
      <c r="A11" t="s">
        <v>10</v>
      </c>
      <c r="B11" t="s">
        <v>86</v>
      </c>
      <c r="C11" t="s">
        <v>57</v>
      </c>
      <c r="D11" t="str">
        <f t="shared" si="0"/>
        <v>NA</v>
      </c>
      <c r="E11" t="str">
        <f t="shared" si="1"/>
        <v>NA</v>
      </c>
      <c r="F11" t="str">
        <f t="shared" si="2"/>
        <v>Cody Miller</v>
      </c>
      <c r="G11" t="s">
        <v>581</v>
      </c>
      <c r="I11" t="s">
        <v>576</v>
      </c>
      <c r="K11" t="str">
        <f t="shared" si="3"/>
        <v>NA</v>
      </c>
      <c r="L11" t="str">
        <f t="shared" si="4"/>
        <v>NA</v>
      </c>
      <c r="M11" t="s">
        <v>578</v>
      </c>
      <c r="N11" t="s">
        <v>37</v>
      </c>
      <c r="O11" t="s">
        <v>38</v>
      </c>
      <c r="P11" t="s">
        <v>211</v>
      </c>
      <c r="Q11" t="s">
        <v>212</v>
      </c>
      <c r="R11">
        <v>80011</v>
      </c>
      <c r="S11" t="s">
        <v>213</v>
      </c>
      <c r="T11" t="s">
        <v>87</v>
      </c>
      <c r="AA11" t="s">
        <v>85</v>
      </c>
    </row>
    <row r="12" spans="1:27" x14ac:dyDescent="0.45">
      <c r="A12" t="s">
        <v>11</v>
      </c>
      <c r="B12" t="s">
        <v>91</v>
      </c>
      <c r="C12" t="s">
        <v>57</v>
      </c>
      <c r="D12" t="str">
        <f t="shared" si="0"/>
        <v>NA</v>
      </c>
      <c r="E12" t="str">
        <f t="shared" si="1"/>
        <v>NA</v>
      </c>
      <c r="F12" t="str">
        <f t="shared" si="2"/>
        <v>Chris Logan</v>
      </c>
      <c r="G12" t="s">
        <v>581</v>
      </c>
      <c r="I12" t="s">
        <v>576</v>
      </c>
      <c r="K12" t="str">
        <f t="shared" si="3"/>
        <v>NA</v>
      </c>
      <c r="L12" t="str">
        <f t="shared" si="4"/>
        <v>NA</v>
      </c>
      <c r="M12" t="s">
        <v>578</v>
      </c>
      <c r="N12" t="s">
        <v>37</v>
      </c>
      <c r="O12" t="s">
        <v>38</v>
      </c>
      <c r="P12" t="s">
        <v>541</v>
      </c>
      <c r="Q12" t="s">
        <v>542</v>
      </c>
      <c r="R12">
        <v>19709</v>
      </c>
      <c r="S12" t="s">
        <v>543</v>
      </c>
      <c r="T12" t="s">
        <v>92</v>
      </c>
      <c r="AA12" t="s">
        <v>90</v>
      </c>
    </row>
    <row r="13" spans="1:27" x14ac:dyDescent="0.45">
      <c r="A13" t="s">
        <v>12</v>
      </c>
      <c r="B13" t="s">
        <v>97</v>
      </c>
      <c r="C13" t="s">
        <v>96</v>
      </c>
      <c r="D13" t="str">
        <f t="shared" si="0"/>
        <v>NA</v>
      </c>
      <c r="E13" t="str">
        <f t="shared" si="1"/>
        <v>NA</v>
      </c>
      <c r="F13" t="str">
        <f t="shared" si="2"/>
        <v>NA</v>
      </c>
      <c r="G13" t="s">
        <v>581</v>
      </c>
      <c r="I13" t="s">
        <v>576</v>
      </c>
      <c r="K13" t="str">
        <f t="shared" si="3"/>
        <v>NA</v>
      </c>
      <c r="L13" t="str">
        <f t="shared" si="4"/>
        <v>NA</v>
      </c>
      <c r="M13" t="s">
        <v>578</v>
      </c>
      <c r="N13" t="s">
        <v>37</v>
      </c>
      <c r="P13" t="s">
        <v>495</v>
      </c>
      <c r="Q13" t="s">
        <v>496</v>
      </c>
      <c r="R13">
        <v>30189</v>
      </c>
      <c r="S13">
        <v>470.31669740000001</v>
      </c>
      <c r="T13" t="s">
        <v>98</v>
      </c>
      <c r="AA13" t="s">
        <v>95</v>
      </c>
    </row>
    <row r="14" spans="1:27" x14ac:dyDescent="0.45">
      <c r="A14" t="s">
        <v>13</v>
      </c>
      <c r="B14" t="s">
        <v>100</v>
      </c>
      <c r="C14" t="s">
        <v>99</v>
      </c>
      <c r="D14" t="str">
        <f t="shared" si="0"/>
        <v>Jordan Wagner</v>
      </c>
      <c r="E14" t="str">
        <f t="shared" si="1"/>
        <v>NA</v>
      </c>
      <c r="F14" t="str">
        <f t="shared" si="2"/>
        <v>NA</v>
      </c>
      <c r="G14" t="s">
        <v>581</v>
      </c>
      <c r="I14" t="s">
        <v>576</v>
      </c>
      <c r="K14" t="str">
        <f t="shared" si="3"/>
        <v>NA</v>
      </c>
      <c r="L14" t="str">
        <f t="shared" si="4"/>
        <v>NA</v>
      </c>
      <c r="M14" t="s">
        <v>578</v>
      </c>
      <c r="N14" t="s">
        <v>37</v>
      </c>
      <c r="P14" t="s">
        <v>218</v>
      </c>
      <c r="Q14" t="s">
        <v>219</v>
      </c>
      <c r="R14">
        <v>52745</v>
      </c>
      <c r="S14" t="s">
        <v>220</v>
      </c>
      <c r="AA14">
        <v>0</v>
      </c>
    </row>
    <row r="15" spans="1:27" x14ac:dyDescent="0.45">
      <c r="A15" t="s">
        <v>13</v>
      </c>
      <c r="B15" t="s">
        <v>106</v>
      </c>
      <c r="C15" t="s">
        <v>105</v>
      </c>
      <c r="D15" t="str">
        <f t="shared" si="0"/>
        <v>NA</v>
      </c>
      <c r="E15" t="str">
        <f t="shared" si="1"/>
        <v>NA</v>
      </c>
      <c r="F15" t="str">
        <f t="shared" si="2"/>
        <v>NA</v>
      </c>
      <c r="G15" t="s">
        <v>581</v>
      </c>
      <c r="I15" t="s">
        <v>576</v>
      </c>
      <c r="K15" t="str">
        <f t="shared" si="3"/>
        <v>NA</v>
      </c>
      <c r="L15" t="str">
        <f t="shared" si="4"/>
        <v>NA</v>
      </c>
      <c r="M15" t="s">
        <v>578</v>
      </c>
      <c r="N15" t="s">
        <v>37</v>
      </c>
      <c r="O15" t="s">
        <v>101</v>
      </c>
      <c r="P15" t="s">
        <v>224</v>
      </c>
      <c r="Q15" t="s">
        <v>225</v>
      </c>
      <c r="R15">
        <v>50266</v>
      </c>
      <c r="S15" t="s">
        <v>226</v>
      </c>
      <c r="T15" t="s">
        <v>108</v>
      </c>
      <c r="Y15" t="s">
        <v>107</v>
      </c>
      <c r="AA15" t="s">
        <v>104</v>
      </c>
    </row>
    <row r="16" spans="1:27" x14ac:dyDescent="0.45">
      <c r="A16" t="s">
        <v>13</v>
      </c>
      <c r="B16" t="s">
        <v>114</v>
      </c>
      <c r="C16" t="s">
        <v>113</v>
      </c>
      <c r="D16" t="str">
        <f t="shared" si="0"/>
        <v>NA</v>
      </c>
      <c r="E16" t="str">
        <f t="shared" si="1"/>
        <v>NA</v>
      </c>
      <c r="F16" t="str">
        <f t="shared" si="2"/>
        <v>NA</v>
      </c>
      <c r="G16" t="s">
        <v>581</v>
      </c>
      <c r="I16" t="s">
        <v>576</v>
      </c>
      <c r="K16" t="str">
        <f t="shared" si="3"/>
        <v>Kathi Kampen</v>
      </c>
      <c r="L16" t="str">
        <f t="shared" si="4"/>
        <v>NA</v>
      </c>
      <c r="M16" t="s">
        <v>578</v>
      </c>
      <c r="N16" t="s">
        <v>109</v>
      </c>
      <c r="O16" t="s">
        <v>101</v>
      </c>
      <c r="P16" t="s">
        <v>229</v>
      </c>
      <c r="Q16" t="s">
        <v>230</v>
      </c>
      <c r="R16">
        <v>50670</v>
      </c>
      <c r="S16" t="s">
        <v>231</v>
      </c>
      <c r="T16" t="s">
        <v>116</v>
      </c>
      <c r="Y16" t="s">
        <v>115</v>
      </c>
      <c r="AA16" t="s">
        <v>112</v>
      </c>
    </row>
    <row r="17" spans="1:27" x14ac:dyDescent="0.45">
      <c r="A17" t="s">
        <v>13</v>
      </c>
      <c r="B17" t="s">
        <v>121</v>
      </c>
      <c r="C17" t="s">
        <v>120</v>
      </c>
      <c r="D17" t="str">
        <f t="shared" si="0"/>
        <v>NA</v>
      </c>
      <c r="E17" t="str">
        <f t="shared" si="1"/>
        <v>NA</v>
      </c>
      <c r="F17" t="str">
        <f t="shared" si="2"/>
        <v>NA</v>
      </c>
      <c r="G17" t="s">
        <v>581</v>
      </c>
      <c r="I17" t="s">
        <v>576</v>
      </c>
      <c r="K17" t="str">
        <f t="shared" si="3"/>
        <v>NA</v>
      </c>
      <c r="L17" t="str">
        <f t="shared" si="4"/>
        <v>NA</v>
      </c>
      <c r="M17" t="s">
        <v>578</v>
      </c>
      <c r="N17" t="s">
        <v>109</v>
      </c>
      <c r="O17" t="s">
        <v>101</v>
      </c>
      <c r="P17" t="s">
        <v>245</v>
      </c>
      <c r="Q17" t="s">
        <v>246</v>
      </c>
      <c r="R17">
        <v>50643</v>
      </c>
      <c r="S17" t="s">
        <v>247</v>
      </c>
      <c r="T17" t="s">
        <v>122</v>
      </c>
      <c r="Y17" t="s">
        <v>115</v>
      </c>
      <c r="AA17" t="s">
        <v>119</v>
      </c>
    </row>
    <row r="18" spans="1:27" x14ac:dyDescent="0.45">
      <c r="A18" t="s">
        <v>13</v>
      </c>
      <c r="B18" t="s">
        <v>126</v>
      </c>
      <c r="C18" t="s">
        <v>113</v>
      </c>
      <c r="D18" t="str">
        <f t="shared" si="0"/>
        <v>NA</v>
      </c>
      <c r="E18" t="str">
        <f t="shared" si="1"/>
        <v>NA</v>
      </c>
      <c r="F18" t="str">
        <f t="shared" si="2"/>
        <v>NA</v>
      </c>
      <c r="G18" t="s">
        <v>581</v>
      </c>
      <c r="I18" t="s">
        <v>576</v>
      </c>
      <c r="K18" t="str">
        <f t="shared" si="3"/>
        <v>Shalom Wicks</v>
      </c>
      <c r="L18" t="str">
        <f t="shared" si="4"/>
        <v>NA</v>
      </c>
      <c r="M18" t="s">
        <v>578</v>
      </c>
      <c r="N18" t="s">
        <v>109</v>
      </c>
      <c r="O18" t="s">
        <v>101</v>
      </c>
      <c r="P18" t="s">
        <v>316</v>
      </c>
      <c r="Q18" t="s">
        <v>317</v>
      </c>
      <c r="R18">
        <v>51401</v>
      </c>
      <c r="S18" t="s">
        <v>318</v>
      </c>
      <c r="T18" t="s">
        <v>128</v>
      </c>
      <c r="Y18" t="s">
        <v>127</v>
      </c>
      <c r="AA18" t="s">
        <v>125</v>
      </c>
    </row>
    <row r="19" spans="1:27" x14ac:dyDescent="0.45">
      <c r="A19" t="s">
        <v>14</v>
      </c>
      <c r="B19" t="s">
        <v>132</v>
      </c>
      <c r="C19" t="s">
        <v>113</v>
      </c>
      <c r="D19" t="str">
        <f t="shared" si="0"/>
        <v>NA</v>
      </c>
      <c r="E19" t="str">
        <f t="shared" si="1"/>
        <v>NA</v>
      </c>
      <c r="F19" t="str">
        <f t="shared" si="2"/>
        <v>NA</v>
      </c>
      <c r="G19" t="s">
        <v>581</v>
      </c>
      <c r="I19" t="s">
        <v>576</v>
      </c>
      <c r="K19" t="str">
        <f t="shared" si="3"/>
        <v>Thomas Featherly</v>
      </c>
      <c r="L19" t="str">
        <f t="shared" si="4"/>
        <v>NA</v>
      </c>
      <c r="M19" t="s">
        <v>578</v>
      </c>
      <c r="N19" t="s">
        <v>109</v>
      </c>
      <c r="O19" t="s">
        <v>101</v>
      </c>
      <c r="P19" t="s">
        <v>345</v>
      </c>
      <c r="Q19" t="s">
        <v>346</v>
      </c>
      <c r="R19">
        <v>83854</v>
      </c>
      <c r="S19" t="s">
        <v>347</v>
      </c>
      <c r="T19" t="s">
        <v>133</v>
      </c>
      <c r="Y19" t="s">
        <v>127</v>
      </c>
      <c r="AA19" t="s">
        <v>131</v>
      </c>
    </row>
    <row r="20" spans="1:27" x14ac:dyDescent="0.45">
      <c r="A20" t="s">
        <v>14</v>
      </c>
      <c r="B20" t="s">
        <v>137</v>
      </c>
      <c r="C20" t="s">
        <v>113</v>
      </c>
      <c r="D20" t="str">
        <f t="shared" si="0"/>
        <v>NA</v>
      </c>
      <c r="E20" t="str">
        <f t="shared" si="1"/>
        <v>NA</v>
      </c>
      <c r="F20" t="str">
        <f t="shared" si="2"/>
        <v>NA</v>
      </c>
      <c r="G20" t="s">
        <v>581</v>
      </c>
      <c r="I20" t="s">
        <v>576</v>
      </c>
      <c r="K20" t="str">
        <f t="shared" si="3"/>
        <v>Andrew Kindernan</v>
      </c>
      <c r="L20" t="str">
        <f t="shared" si="4"/>
        <v>NA</v>
      </c>
      <c r="M20" t="s">
        <v>578</v>
      </c>
      <c r="N20" t="s">
        <v>109</v>
      </c>
      <c r="O20" t="s">
        <v>101</v>
      </c>
      <c r="P20" t="s">
        <v>363</v>
      </c>
      <c r="Q20" t="s">
        <v>364</v>
      </c>
      <c r="R20">
        <v>83402</v>
      </c>
      <c r="S20" t="s">
        <v>365</v>
      </c>
      <c r="T20" t="s">
        <v>138</v>
      </c>
      <c r="Y20" t="s">
        <v>107</v>
      </c>
      <c r="AA20" t="s">
        <v>136</v>
      </c>
    </row>
    <row r="21" spans="1:27" x14ac:dyDescent="0.45">
      <c r="A21" t="s">
        <v>15</v>
      </c>
      <c r="B21" t="s">
        <v>143</v>
      </c>
      <c r="C21" t="s">
        <v>113</v>
      </c>
      <c r="D21" t="str">
        <f t="shared" si="0"/>
        <v>NA</v>
      </c>
      <c r="E21" t="str">
        <f t="shared" si="1"/>
        <v>NA</v>
      </c>
      <c r="F21" t="str">
        <f t="shared" si="2"/>
        <v>NA</v>
      </c>
      <c r="G21" t="s">
        <v>581</v>
      </c>
      <c r="I21" t="s">
        <v>576</v>
      </c>
      <c r="K21" t="str">
        <f t="shared" si="3"/>
        <v>Breton Nylen</v>
      </c>
      <c r="L21" t="str">
        <f t="shared" si="4"/>
        <v>NA</v>
      </c>
      <c r="M21" t="s">
        <v>578</v>
      </c>
      <c r="N21" t="s">
        <v>109</v>
      </c>
      <c r="O21" t="s">
        <v>101</v>
      </c>
      <c r="P21" t="s">
        <v>234</v>
      </c>
      <c r="Q21" t="s">
        <v>235</v>
      </c>
      <c r="R21">
        <v>60130</v>
      </c>
      <c r="S21" t="s">
        <v>236</v>
      </c>
      <c r="T21" t="s">
        <v>144</v>
      </c>
      <c r="Y21" t="s">
        <v>107</v>
      </c>
      <c r="AA21" t="s">
        <v>142</v>
      </c>
    </row>
    <row r="22" spans="1:27" x14ac:dyDescent="0.45">
      <c r="A22" t="s">
        <v>15</v>
      </c>
      <c r="B22" t="s">
        <v>148</v>
      </c>
      <c r="C22" t="s">
        <v>113</v>
      </c>
      <c r="D22" t="str">
        <f t="shared" si="0"/>
        <v>NA</v>
      </c>
      <c r="E22" t="str">
        <f t="shared" si="1"/>
        <v>NA</v>
      </c>
      <c r="F22" t="str">
        <f t="shared" si="2"/>
        <v>NA</v>
      </c>
      <c r="G22" t="s">
        <v>581</v>
      </c>
      <c r="I22" t="s">
        <v>576</v>
      </c>
      <c r="K22" t="str">
        <f t="shared" si="3"/>
        <v>Gary Penhale</v>
      </c>
      <c r="L22" t="str">
        <f t="shared" si="4"/>
        <v>NA</v>
      </c>
      <c r="M22" t="s">
        <v>578</v>
      </c>
      <c r="N22" t="s">
        <v>109</v>
      </c>
      <c r="O22" t="s">
        <v>101</v>
      </c>
      <c r="P22" t="s">
        <v>240</v>
      </c>
      <c r="Q22" t="s">
        <v>241</v>
      </c>
      <c r="R22">
        <v>60559</v>
      </c>
      <c r="S22" t="s">
        <v>242</v>
      </c>
      <c r="T22" t="s">
        <v>149</v>
      </c>
      <c r="AA22" t="s">
        <v>147</v>
      </c>
    </row>
    <row r="23" spans="1:27" x14ac:dyDescent="0.45">
      <c r="A23" t="s">
        <v>15</v>
      </c>
      <c r="B23" t="s">
        <v>107</v>
      </c>
      <c r="C23" t="s">
        <v>493</v>
      </c>
      <c r="D23" t="str">
        <f t="shared" si="0"/>
        <v>NA</v>
      </c>
      <c r="E23" t="str">
        <f t="shared" si="1"/>
        <v>NA</v>
      </c>
      <c r="F23" t="str">
        <f t="shared" si="2"/>
        <v>NA</v>
      </c>
      <c r="G23" t="s">
        <v>581</v>
      </c>
      <c r="I23" t="s">
        <v>576</v>
      </c>
      <c r="K23" t="str">
        <f t="shared" si="3"/>
        <v>NA</v>
      </c>
      <c r="L23" t="str">
        <f t="shared" si="4"/>
        <v>Ryan McDermid</v>
      </c>
      <c r="M23" t="s">
        <v>578</v>
      </c>
      <c r="N23" t="s">
        <v>109</v>
      </c>
      <c r="O23" t="s">
        <v>101</v>
      </c>
      <c r="P23" t="s">
        <v>281</v>
      </c>
      <c r="Q23" t="s">
        <v>282</v>
      </c>
      <c r="R23">
        <v>62249</v>
      </c>
      <c r="S23" t="s">
        <v>283</v>
      </c>
      <c r="T23" t="s">
        <v>153</v>
      </c>
      <c r="AA23" t="s">
        <v>152</v>
      </c>
    </row>
    <row r="24" spans="1:27" x14ac:dyDescent="0.45">
      <c r="A24" t="s">
        <v>16</v>
      </c>
      <c r="B24" t="s">
        <v>115</v>
      </c>
      <c r="C24" t="s">
        <v>493</v>
      </c>
      <c r="D24" t="str">
        <f t="shared" si="0"/>
        <v>NA</v>
      </c>
      <c r="E24" t="str">
        <f t="shared" si="1"/>
        <v>NA</v>
      </c>
      <c r="F24" t="str">
        <f t="shared" si="2"/>
        <v>NA</v>
      </c>
      <c r="G24" t="s">
        <v>581</v>
      </c>
      <c r="I24" t="s">
        <v>576</v>
      </c>
      <c r="K24" t="str">
        <f t="shared" si="3"/>
        <v>NA</v>
      </c>
      <c r="L24" t="str">
        <f t="shared" si="4"/>
        <v>Chris Berger</v>
      </c>
      <c r="M24" t="s">
        <v>578</v>
      </c>
      <c r="N24" t="s">
        <v>109</v>
      </c>
      <c r="O24" t="s">
        <v>101</v>
      </c>
      <c r="P24" t="s">
        <v>249</v>
      </c>
      <c r="Q24" t="s">
        <v>250</v>
      </c>
      <c r="R24">
        <v>46373</v>
      </c>
      <c r="S24" t="s">
        <v>251</v>
      </c>
      <c r="T24" t="s">
        <v>157</v>
      </c>
      <c r="AA24" t="s">
        <v>156</v>
      </c>
    </row>
    <row r="25" spans="1:27" x14ac:dyDescent="0.45">
      <c r="A25" t="s">
        <v>16</v>
      </c>
      <c r="B25" t="s">
        <v>127</v>
      </c>
      <c r="C25" t="s">
        <v>493</v>
      </c>
      <c r="D25" t="str">
        <f t="shared" si="0"/>
        <v>NA</v>
      </c>
      <c r="E25" t="str">
        <f t="shared" si="1"/>
        <v>NA</v>
      </c>
      <c r="F25" t="str">
        <f t="shared" si="2"/>
        <v>NA</v>
      </c>
      <c r="G25" t="s">
        <v>581</v>
      </c>
      <c r="I25" t="s">
        <v>577</v>
      </c>
      <c r="K25" t="str">
        <f t="shared" si="3"/>
        <v>NA</v>
      </c>
      <c r="L25" t="str">
        <f t="shared" si="4"/>
        <v>Collin Wuebben</v>
      </c>
      <c r="M25" t="s">
        <v>578</v>
      </c>
      <c r="N25" t="s">
        <v>109</v>
      </c>
      <c r="O25" t="s">
        <v>101</v>
      </c>
      <c r="P25" t="s">
        <v>396</v>
      </c>
      <c r="Q25" t="s">
        <v>397</v>
      </c>
      <c r="R25">
        <v>46062</v>
      </c>
      <c r="T25" t="s">
        <v>161</v>
      </c>
      <c r="AA25" t="s">
        <v>160</v>
      </c>
    </row>
    <row r="26" spans="1:27" x14ac:dyDescent="0.45">
      <c r="A26" t="s">
        <v>16</v>
      </c>
      <c r="B26" t="s">
        <v>162</v>
      </c>
      <c r="C26" t="s">
        <v>99</v>
      </c>
      <c r="D26" t="str">
        <f t="shared" si="0"/>
        <v>Max Hammerstrom</v>
      </c>
      <c r="E26" t="str">
        <f t="shared" si="1"/>
        <v>NA</v>
      </c>
      <c r="F26" t="str">
        <f t="shared" si="2"/>
        <v>NA</v>
      </c>
      <c r="G26" t="s">
        <v>581</v>
      </c>
      <c r="I26" t="s">
        <v>577</v>
      </c>
      <c r="K26" t="str">
        <f t="shared" si="3"/>
        <v>NA</v>
      </c>
      <c r="L26" t="str">
        <f t="shared" si="4"/>
        <v>NA</v>
      </c>
      <c r="M26" t="s">
        <v>578</v>
      </c>
      <c r="N26" t="s">
        <v>109</v>
      </c>
      <c r="P26" t="s">
        <v>401</v>
      </c>
      <c r="Q26" t="s">
        <v>402</v>
      </c>
      <c r="R26">
        <v>47429</v>
      </c>
      <c r="S26" t="s">
        <v>403</v>
      </c>
      <c r="T26" t="s">
        <v>163</v>
      </c>
      <c r="AA26">
        <v>0</v>
      </c>
    </row>
    <row r="27" spans="1:27" x14ac:dyDescent="0.45">
      <c r="A27" t="s">
        <v>16</v>
      </c>
      <c r="B27" t="s">
        <v>168</v>
      </c>
      <c r="C27" t="s">
        <v>120</v>
      </c>
      <c r="D27" t="str">
        <f t="shared" si="0"/>
        <v>NA</v>
      </c>
      <c r="E27" t="str">
        <f t="shared" si="1"/>
        <v>NA</v>
      </c>
      <c r="F27" t="str">
        <f t="shared" si="2"/>
        <v>NA</v>
      </c>
      <c r="G27" t="s">
        <v>581</v>
      </c>
      <c r="I27" t="s">
        <v>577</v>
      </c>
      <c r="K27" t="str">
        <f t="shared" si="3"/>
        <v>NA</v>
      </c>
      <c r="L27" t="str">
        <f t="shared" si="4"/>
        <v>NA</v>
      </c>
      <c r="M27" t="s">
        <v>578</v>
      </c>
      <c r="N27" t="s">
        <v>109</v>
      </c>
      <c r="O27" t="s">
        <v>164</v>
      </c>
      <c r="P27" t="s">
        <v>440</v>
      </c>
      <c r="Q27" t="s">
        <v>441</v>
      </c>
      <c r="R27">
        <v>46032</v>
      </c>
      <c r="S27" t="s">
        <v>442</v>
      </c>
      <c r="T27" t="s">
        <v>170</v>
      </c>
      <c r="Y27" t="s">
        <v>169</v>
      </c>
      <c r="AA27" t="s">
        <v>167</v>
      </c>
    </row>
    <row r="28" spans="1:27" x14ac:dyDescent="0.45">
      <c r="A28" t="s">
        <v>16</v>
      </c>
      <c r="B28" t="s">
        <v>174</v>
      </c>
      <c r="C28" t="s">
        <v>113</v>
      </c>
      <c r="D28" t="str">
        <f t="shared" si="0"/>
        <v>NA</v>
      </c>
      <c r="E28" t="str">
        <f t="shared" si="1"/>
        <v>NA</v>
      </c>
      <c r="F28" t="str">
        <f t="shared" si="2"/>
        <v>NA</v>
      </c>
      <c r="G28" t="s">
        <v>581</v>
      </c>
      <c r="I28" t="s">
        <v>577</v>
      </c>
      <c r="K28" t="str">
        <f t="shared" si="3"/>
        <v>Ryan Froemke</v>
      </c>
      <c r="L28" t="str">
        <f t="shared" si="4"/>
        <v>NA</v>
      </c>
      <c r="M28" t="s">
        <v>578</v>
      </c>
      <c r="N28" t="s">
        <v>109</v>
      </c>
      <c r="O28" t="s">
        <v>164</v>
      </c>
      <c r="P28" t="s">
        <v>478</v>
      </c>
      <c r="Q28" t="s">
        <v>479</v>
      </c>
      <c r="R28">
        <v>47138</v>
      </c>
      <c r="S28" t="s">
        <v>480</v>
      </c>
      <c r="T28" t="s">
        <v>175</v>
      </c>
      <c r="AA28" t="s">
        <v>173</v>
      </c>
    </row>
    <row r="29" spans="1:27" x14ac:dyDescent="0.45">
      <c r="A29" t="s">
        <v>17</v>
      </c>
      <c r="B29" t="s">
        <v>179</v>
      </c>
      <c r="C29" t="s">
        <v>113</v>
      </c>
      <c r="D29" t="str">
        <f t="shared" si="0"/>
        <v>NA</v>
      </c>
      <c r="E29" t="str">
        <f t="shared" si="1"/>
        <v>NA</v>
      </c>
      <c r="F29" t="str">
        <f t="shared" si="2"/>
        <v>NA</v>
      </c>
      <c r="G29" t="s">
        <v>581</v>
      </c>
      <c r="I29" t="s">
        <v>577</v>
      </c>
      <c r="K29" t="str">
        <f t="shared" si="3"/>
        <v>Micah Browning</v>
      </c>
      <c r="L29" t="str">
        <f t="shared" si="4"/>
        <v>NA</v>
      </c>
      <c r="M29" t="s">
        <v>578</v>
      </c>
      <c r="N29" t="s">
        <v>109</v>
      </c>
      <c r="O29" t="s">
        <v>164</v>
      </c>
      <c r="P29" t="s">
        <v>52</v>
      </c>
      <c r="Q29" t="s">
        <v>53</v>
      </c>
      <c r="R29">
        <v>66061</v>
      </c>
      <c r="S29" t="s">
        <v>54</v>
      </c>
      <c r="T29" t="s">
        <v>181</v>
      </c>
      <c r="Y29" t="s">
        <v>180</v>
      </c>
      <c r="AA29" t="s">
        <v>178</v>
      </c>
    </row>
    <row r="30" spans="1:27" x14ac:dyDescent="0.45">
      <c r="A30" t="s">
        <v>17</v>
      </c>
      <c r="B30" t="s">
        <v>185</v>
      </c>
      <c r="C30" t="s">
        <v>113</v>
      </c>
      <c r="D30" t="str">
        <f t="shared" si="0"/>
        <v>NA</v>
      </c>
      <c r="E30" t="str">
        <f t="shared" si="1"/>
        <v>NA</v>
      </c>
      <c r="F30" t="str">
        <f t="shared" si="2"/>
        <v>NA</v>
      </c>
      <c r="G30" t="s">
        <v>581</v>
      </c>
      <c r="I30" t="s">
        <v>577</v>
      </c>
      <c r="K30" t="str">
        <f t="shared" si="3"/>
        <v>Danny Taylor</v>
      </c>
      <c r="L30" t="str">
        <f t="shared" si="4"/>
        <v>NA</v>
      </c>
      <c r="M30" t="s">
        <v>578</v>
      </c>
      <c r="N30" t="s">
        <v>109</v>
      </c>
      <c r="O30" t="s">
        <v>164</v>
      </c>
      <c r="P30" t="s">
        <v>260</v>
      </c>
      <c r="Q30" t="s">
        <v>261</v>
      </c>
      <c r="R30">
        <v>67364</v>
      </c>
      <c r="S30" t="s">
        <v>262</v>
      </c>
      <c r="T30" t="s">
        <v>187</v>
      </c>
      <c r="Y30" t="s">
        <v>186</v>
      </c>
      <c r="AA30" t="s">
        <v>184</v>
      </c>
    </row>
    <row r="31" spans="1:27" x14ac:dyDescent="0.45">
      <c r="A31" t="s">
        <v>18</v>
      </c>
      <c r="B31" t="s">
        <v>191</v>
      </c>
      <c r="C31" t="s">
        <v>113</v>
      </c>
      <c r="D31" t="str">
        <f t="shared" si="0"/>
        <v>NA</v>
      </c>
      <c r="E31" t="str">
        <f t="shared" si="1"/>
        <v>NA</v>
      </c>
      <c r="F31" t="str">
        <f t="shared" si="2"/>
        <v>NA</v>
      </c>
      <c r="G31" t="s">
        <v>581</v>
      </c>
      <c r="I31" t="s">
        <v>577</v>
      </c>
      <c r="K31" t="str">
        <f t="shared" si="3"/>
        <v>Graig Sells</v>
      </c>
      <c r="L31" t="str">
        <f t="shared" si="4"/>
        <v>NA</v>
      </c>
      <c r="M31" t="s">
        <v>578</v>
      </c>
      <c r="N31" t="s">
        <v>109</v>
      </c>
      <c r="O31" t="s">
        <v>164</v>
      </c>
      <c r="P31" t="s">
        <v>498</v>
      </c>
      <c r="Q31" t="s">
        <v>499</v>
      </c>
      <c r="R31">
        <v>40152</v>
      </c>
      <c r="S31" t="s">
        <v>500</v>
      </c>
      <c r="T31" t="s">
        <v>193</v>
      </c>
      <c r="Y31" t="s">
        <v>192</v>
      </c>
      <c r="AA31" t="s">
        <v>190</v>
      </c>
    </row>
    <row r="32" spans="1:27" x14ac:dyDescent="0.45">
      <c r="A32" t="s">
        <v>19</v>
      </c>
      <c r="B32" t="s">
        <v>197</v>
      </c>
      <c r="C32" t="s">
        <v>113</v>
      </c>
      <c r="D32" t="str">
        <f t="shared" si="0"/>
        <v>NA</v>
      </c>
      <c r="E32" t="str">
        <f t="shared" si="1"/>
        <v>NA</v>
      </c>
      <c r="F32" t="str">
        <f t="shared" si="2"/>
        <v>NA</v>
      </c>
      <c r="G32" t="s">
        <v>581</v>
      </c>
      <c r="I32" t="s">
        <v>577</v>
      </c>
      <c r="K32" t="str">
        <f t="shared" si="3"/>
        <v>Josh Moller</v>
      </c>
      <c r="L32" t="str">
        <f t="shared" si="4"/>
        <v>NA</v>
      </c>
      <c r="M32" t="s">
        <v>578</v>
      </c>
      <c r="N32" t="s">
        <v>109</v>
      </c>
      <c r="O32" t="s">
        <v>164</v>
      </c>
      <c r="P32" t="s">
        <v>516</v>
      </c>
      <c r="Q32" t="s">
        <v>517</v>
      </c>
      <c r="R32">
        <v>21014</v>
      </c>
      <c r="S32" t="s">
        <v>518</v>
      </c>
      <c r="T32" t="s">
        <v>198</v>
      </c>
      <c r="Y32" t="s">
        <v>169</v>
      </c>
      <c r="AA32" t="s">
        <v>196</v>
      </c>
    </row>
    <row r="33" spans="1:27" x14ac:dyDescent="0.45">
      <c r="A33" t="s">
        <v>20</v>
      </c>
      <c r="B33" t="s">
        <v>202</v>
      </c>
      <c r="C33" t="s">
        <v>113</v>
      </c>
      <c r="D33" t="str">
        <f t="shared" si="0"/>
        <v>NA</v>
      </c>
      <c r="E33" t="str">
        <f t="shared" si="1"/>
        <v>NA</v>
      </c>
      <c r="F33" t="str">
        <f t="shared" si="2"/>
        <v>NA</v>
      </c>
      <c r="G33" t="s">
        <v>581</v>
      </c>
      <c r="I33" t="s">
        <v>577</v>
      </c>
      <c r="K33" t="str">
        <f t="shared" si="3"/>
        <v>Kelly Hardrick</v>
      </c>
      <c r="L33" t="str">
        <f t="shared" si="4"/>
        <v>NA</v>
      </c>
      <c r="M33" t="s">
        <v>578</v>
      </c>
      <c r="N33" t="s">
        <v>109</v>
      </c>
      <c r="O33" t="s">
        <v>164</v>
      </c>
      <c r="P33" t="s">
        <v>58</v>
      </c>
      <c r="Q33" t="s">
        <v>59</v>
      </c>
      <c r="R33">
        <v>49546</v>
      </c>
      <c r="S33" t="s">
        <v>60</v>
      </c>
      <c r="T33" t="s">
        <v>204</v>
      </c>
      <c r="Y33" t="s">
        <v>203</v>
      </c>
      <c r="AA33" t="s">
        <v>201</v>
      </c>
    </row>
    <row r="34" spans="1:27" x14ac:dyDescent="0.45">
      <c r="A34" t="s">
        <v>20</v>
      </c>
      <c r="B34" t="s">
        <v>169</v>
      </c>
      <c r="C34" t="s">
        <v>493</v>
      </c>
      <c r="D34" t="str">
        <f t="shared" si="0"/>
        <v>NA</v>
      </c>
      <c r="E34" t="str">
        <f t="shared" si="1"/>
        <v>NA</v>
      </c>
      <c r="F34" t="str">
        <f t="shared" si="2"/>
        <v>NA</v>
      </c>
      <c r="G34" t="s">
        <v>581</v>
      </c>
      <c r="I34" t="s">
        <v>577</v>
      </c>
      <c r="K34" t="str">
        <f t="shared" si="3"/>
        <v>NA</v>
      </c>
      <c r="L34" t="str">
        <f t="shared" si="4"/>
        <v>Chad Lemburg</v>
      </c>
      <c r="M34" t="s">
        <v>578</v>
      </c>
      <c r="N34" t="s">
        <v>109</v>
      </c>
      <c r="O34" s="1" t="s">
        <v>164</v>
      </c>
      <c r="P34" t="s">
        <v>145</v>
      </c>
      <c r="Q34" t="s">
        <v>146</v>
      </c>
      <c r="R34">
        <v>49866</v>
      </c>
      <c r="S34" t="s">
        <v>147</v>
      </c>
      <c r="T34" t="s">
        <v>207</v>
      </c>
      <c r="Y34" s="1"/>
      <c r="AA34" t="s">
        <v>206</v>
      </c>
    </row>
    <row r="35" spans="1:27" x14ac:dyDescent="0.45">
      <c r="A35" t="s">
        <v>20</v>
      </c>
      <c r="B35" t="s">
        <v>186</v>
      </c>
      <c r="C35" t="s">
        <v>493</v>
      </c>
      <c r="D35" t="str">
        <f t="shared" si="0"/>
        <v>NA</v>
      </c>
      <c r="E35" t="str">
        <f t="shared" si="1"/>
        <v>NA</v>
      </c>
      <c r="F35" t="str">
        <f t="shared" si="2"/>
        <v>NA</v>
      </c>
      <c r="G35" t="s">
        <v>581</v>
      </c>
      <c r="I35" t="s">
        <v>577</v>
      </c>
      <c r="K35" t="str">
        <f t="shared" si="3"/>
        <v>NA</v>
      </c>
      <c r="L35" t="str">
        <f t="shared" si="4"/>
        <v>Andrew Stuart</v>
      </c>
      <c r="M35" t="s">
        <v>578</v>
      </c>
      <c r="N35" t="s">
        <v>109</v>
      </c>
      <c r="O35" t="s">
        <v>164</v>
      </c>
      <c r="P35" t="s">
        <v>407</v>
      </c>
      <c r="Q35" t="s">
        <v>408</v>
      </c>
      <c r="R35">
        <v>48014</v>
      </c>
      <c r="S35" t="s">
        <v>409</v>
      </c>
      <c r="T35" t="s">
        <v>210</v>
      </c>
      <c r="AA35" t="s">
        <v>209</v>
      </c>
    </row>
    <row r="36" spans="1:27" x14ac:dyDescent="0.45">
      <c r="A36" t="s">
        <v>20</v>
      </c>
      <c r="B36" t="s">
        <v>192</v>
      </c>
      <c r="C36" t="s">
        <v>493</v>
      </c>
      <c r="D36" t="str">
        <f t="shared" si="0"/>
        <v>NA</v>
      </c>
      <c r="E36" t="str">
        <f t="shared" si="1"/>
        <v>NA</v>
      </c>
      <c r="F36" t="str">
        <f t="shared" si="2"/>
        <v>NA</v>
      </c>
      <c r="G36" t="s">
        <v>581</v>
      </c>
      <c r="I36" t="s">
        <v>577</v>
      </c>
      <c r="K36" t="str">
        <f t="shared" si="3"/>
        <v>NA</v>
      </c>
      <c r="L36" t="str">
        <f t="shared" si="4"/>
        <v>Kevin Muller</v>
      </c>
      <c r="M36" t="s">
        <v>578</v>
      </c>
      <c r="N36" t="s">
        <v>109</v>
      </c>
      <c r="O36" t="s">
        <v>164</v>
      </c>
      <c r="P36" t="s">
        <v>413</v>
      </c>
      <c r="Q36" t="s">
        <v>414</v>
      </c>
      <c r="R36">
        <v>49735</v>
      </c>
      <c r="S36" t="s">
        <v>415</v>
      </c>
      <c r="T36" t="s">
        <v>214</v>
      </c>
      <c r="AA36" t="s">
        <v>213</v>
      </c>
    </row>
    <row r="37" spans="1:27" x14ac:dyDescent="0.45">
      <c r="A37" t="s">
        <v>20</v>
      </c>
      <c r="B37" t="s">
        <v>215</v>
      </c>
      <c r="C37" t="s">
        <v>99</v>
      </c>
      <c r="D37" t="str">
        <f t="shared" si="0"/>
        <v>Paul Schuh</v>
      </c>
      <c r="E37" t="str">
        <f t="shared" si="1"/>
        <v>NA</v>
      </c>
      <c r="F37" t="str">
        <f t="shared" si="2"/>
        <v>NA</v>
      </c>
      <c r="G37" t="s">
        <v>581</v>
      </c>
      <c r="I37" t="s">
        <v>577</v>
      </c>
      <c r="K37" t="str">
        <f t="shared" si="3"/>
        <v>NA</v>
      </c>
      <c r="L37" t="str">
        <f t="shared" si="4"/>
        <v>NA</v>
      </c>
      <c r="M37" t="s">
        <v>578</v>
      </c>
      <c r="N37" t="s">
        <v>109</v>
      </c>
      <c r="P37" t="s">
        <v>419</v>
      </c>
      <c r="Q37" t="s">
        <v>420</v>
      </c>
      <c r="R37">
        <v>48065</v>
      </c>
      <c r="S37" t="s">
        <v>421</v>
      </c>
      <c r="T37" t="s">
        <v>216</v>
      </c>
      <c r="AA37">
        <v>0</v>
      </c>
    </row>
    <row r="38" spans="1:27" x14ac:dyDescent="0.45">
      <c r="A38" t="s">
        <v>20</v>
      </c>
      <c r="B38" t="s">
        <v>221</v>
      </c>
      <c r="C38" t="s">
        <v>113</v>
      </c>
      <c r="D38" t="str">
        <f t="shared" si="0"/>
        <v>NA</v>
      </c>
      <c r="E38" t="str">
        <f t="shared" si="1"/>
        <v>NA</v>
      </c>
      <c r="F38" t="str">
        <f t="shared" si="2"/>
        <v>NA</v>
      </c>
      <c r="G38" t="s">
        <v>581</v>
      </c>
      <c r="I38" t="s">
        <v>577</v>
      </c>
      <c r="K38" t="str">
        <f t="shared" si="3"/>
        <v>Bradley Moeller</v>
      </c>
      <c r="L38" t="str">
        <f t="shared" si="4"/>
        <v>NA</v>
      </c>
      <c r="M38" t="s">
        <v>578</v>
      </c>
      <c r="N38" t="s">
        <v>109</v>
      </c>
      <c r="O38" t="s">
        <v>217</v>
      </c>
      <c r="P38" t="s">
        <v>436</v>
      </c>
      <c r="Q38" t="s">
        <v>437</v>
      </c>
      <c r="R38">
        <v>49735</v>
      </c>
      <c r="S38" t="s">
        <v>438</v>
      </c>
      <c r="T38" t="s">
        <v>223</v>
      </c>
      <c r="Y38" t="s">
        <v>222</v>
      </c>
      <c r="AA38" t="s">
        <v>220</v>
      </c>
    </row>
    <row r="39" spans="1:27" x14ac:dyDescent="0.45">
      <c r="A39" t="s">
        <v>20</v>
      </c>
      <c r="B39" t="s">
        <v>227</v>
      </c>
      <c r="C39" t="s">
        <v>113</v>
      </c>
      <c r="D39" t="str">
        <f t="shared" si="0"/>
        <v>NA</v>
      </c>
      <c r="E39" t="str">
        <f t="shared" si="1"/>
        <v>NA</v>
      </c>
      <c r="F39" t="str">
        <f t="shared" si="2"/>
        <v>NA</v>
      </c>
      <c r="G39" t="s">
        <v>581</v>
      </c>
      <c r="I39" t="s">
        <v>577</v>
      </c>
      <c r="K39" t="str">
        <f t="shared" si="3"/>
        <v>Jacob Cabbage</v>
      </c>
      <c r="L39" t="str">
        <f t="shared" si="4"/>
        <v>NA</v>
      </c>
      <c r="M39" t="s">
        <v>578</v>
      </c>
      <c r="N39" t="s">
        <v>109</v>
      </c>
      <c r="O39" t="s">
        <v>217</v>
      </c>
      <c r="P39" t="s">
        <v>450</v>
      </c>
      <c r="Q39" t="s">
        <v>451</v>
      </c>
      <c r="R39">
        <v>49076</v>
      </c>
      <c r="S39" t="s">
        <v>452</v>
      </c>
      <c r="T39" t="s">
        <v>228</v>
      </c>
      <c r="Y39" t="s">
        <v>222</v>
      </c>
      <c r="AA39" t="s">
        <v>226</v>
      </c>
    </row>
    <row r="40" spans="1:27" x14ac:dyDescent="0.45">
      <c r="A40" t="s">
        <v>21</v>
      </c>
      <c r="B40" t="s">
        <v>232</v>
      </c>
      <c r="C40" t="s">
        <v>113</v>
      </c>
      <c r="D40" t="str">
        <f t="shared" si="0"/>
        <v>NA</v>
      </c>
      <c r="E40" t="str">
        <f t="shared" si="1"/>
        <v>NA</v>
      </c>
      <c r="F40" t="str">
        <f t="shared" si="2"/>
        <v>NA</v>
      </c>
      <c r="G40" t="s">
        <v>581</v>
      </c>
      <c r="I40" t="s">
        <v>577</v>
      </c>
      <c r="K40" t="str">
        <f t="shared" si="3"/>
        <v>Sam Noel</v>
      </c>
      <c r="L40" t="str">
        <f t="shared" si="4"/>
        <v>NA</v>
      </c>
      <c r="M40" t="s">
        <v>578</v>
      </c>
      <c r="N40" t="s">
        <v>109</v>
      </c>
      <c r="O40" t="s">
        <v>217</v>
      </c>
      <c r="P40" t="s">
        <v>78</v>
      </c>
      <c r="Q40" t="s">
        <v>79</v>
      </c>
      <c r="R40">
        <v>55044</v>
      </c>
      <c r="S40" t="s">
        <v>80</v>
      </c>
      <c r="T40" t="s">
        <v>233</v>
      </c>
      <c r="Y40" t="s">
        <v>222</v>
      </c>
      <c r="AA40" t="s">
        <v>231</v>
      </c>
    </row>
    <row r="41" spans="1:27" x14ac:dyDescent="0.45">
      <c r="A41" t="s">
        <v>21</v>
      </c>
      <c r="B41" t="s">
        <v>237</v>
      </c>
      <c r="C41" t="s">
        <v>113</v>
      </c>
      <c r="D41" t="str">
        <f t="shared" si="0"/>
        <v>NA</v>
      </c>
      <c r="E41" t="str">
        <f t="shared" si="1"/>
        <v>NA</v>
      </c>
      <c r="F41" t="str">
        <f t="shared" si="2"/>
        <v>NA</v>
      </c>
      <c r="G41" t="s">
        <v>581</v>
      </c>
      <c r="I41" t="s">
        <v>577</v>
      </c>
      <c r="K41" t="str">
        <f t="shared" si="3"/>
        <v>Stephen Frueh</v>
      </c>
      <c r="L41" t="str">
        <f t="shared" si="4"/>
        <v>NA</v>
      </c>
      <c r="M41" t="s">
        <v>578</v>
      </c>
      <c r="N41" t="s">
        <v>109</v>
      </c>
      <c r="O41" t="s">
        <v>217</v>
      </c>
      <c r="P41" t="s">
        <v>300</v>
      </c>
      <c r="Q41" t="s">
        <v>301</v>
      </c>
      <c r="R41">
        <v>55020</v>
      </c>
      <c r="S41" t="s">
        <v>302</v>
      </c>
      <c r="T41" t="s">
        <v>239</v>
      </c>
      <c r="Y41" t="s">
        <v>238</v>
      </c>
      <c r="AA41" t="s">
        <v>236</v>
      </c>
    </row>
    <row r="42" spans="1:27" x14ac:dyDescent="0.45">
      <c r="A42" t="s">
        <v>21</v>
      </c>
      <c r="B42" t="s">
        <v>243</v>
      </c>
      <c r="C42" t="s">
        <v>113</v>
      </c>
      <c r="D42" t="str">
        <f t="shared" si="0"/>
        <v>NA</v>
      </c>
      <c r="E42" t="str">
        <f t="shared" si="1"/>
        <v>NA</v>
      </c>
      <c r="F42" t="str">
        <f t="shared" si="2"/>
        <v>NA</v>
      </c>
      <c r="G42" t="s">
        <v>581</v>
      </c>
      <c r="I42" t="s">
        <v>577</v>
      </c>
      <c r="K42" t="str">
        <f t="shared" si="3"/>
        <v>Kathy Wesolowski</v>
      </c>
      <c r="L42" t="str">
        <f t="shared" si="4"/>
        <v>NA</v>
      </c>
      <c r="M42" t="s">
        <v>578</v>
      </c>
      <c r="N42" t="s">
        <v>109</v>
      </c>
      <c r="O42" t="s">
        <v>217</v>
      </c>
      <c r="P42" t="s">
        <v>306</v>
      </c>
      <c r="Q42" t="s">
        <v>307</v>
      </c>
      <c r="R42">
        <v>56518</v>
      </c>
      <c r="S42" t="s">
        <v>308</v>
      </c>
      <c r="T42" t="s">
        <v>244</v>
      </c>
      <c r="Y42" t="s">
        <v>238</v>
      </c>
      <c r="AA42" t="s">
        <v>242</v>
      </c>
    </row>
    <row r="43" spans="1:27" x14ac:dyDescent="0.45">
      <c r="A43" t="s">
        <v>21</v>
      </c>
      <c r="B43" t="s">
        <v>222</v>
      </c>
      <c r="C43" t="s">
        <v>493</v>
      </c>
      <c r="D43" t="str">
        <f t="shared" si="0"/>
        <v>NA</v>
      </c>
      <c r="E43" t="str">
        <f t="shared" si="1"/>
        <v>NA</v>
      </c>
      <c r="F43" t="str">
        <f t="shared" si="2"/>
        <v>NA</v>
      </c>
      <c r="G43" t="s">
        <v>581</v>
      </c>
      <c r="I43" t="s">
        <v>577</v>
      </c>
      <c r="K43" t="str">
        <f t="shared" si="3"/>
        <v>NA</v>
      </c>
      <c r="L43" t="str">
        <f t="shared" si="4"/>
        <v>Nate Prehm</v>
      </c>
      <c r="M43" t="s">
        <v>578</v>
      </c>
      <c r="N43" t="s">
        <v>109</v>
      </c>
      <c r="O43" t="s">
        <v>217</v>
      </c>
      <c r="P43" t="s">
        <v>311</v>
      </c>
      <c r="Q43" t="s">
        <v>312</v>
      </c>
      <c r="R43">
        <v>55330</v>
      </c>
      <c r="S43" t="s">
        <v>313</v>
      </c>
      <c r="T43" t="s">
        <v>248</v>
      </c>
      <c r="AA43" t="s">
        <v>247</v>
      </c>
    </row>
    <row r="44" spans="1:27" x14ac:dyDescent="0.45">
      <c r="A44" t="s">
        <v>21</v>
      </c>
      <c r="B44" t="s">
        <v>238</v>
      </c>
      <c r="C44" t="s">
        <v>493</v>
      </c>
      <c r="D44" t="str">
        <f t="shared" si="0"/>
        <v>NA</v>
      </c>
      <c r="E44" t="str">
        <f t="shared" si="1"/>
        <v>NA</v>
      </c>
      <c r="F44" t="str">
        <f t="shared" si="2"/>
        <v>NA</v>
      </c>
      <c r="G44" t="s">
        <v>581</v>
      </c>
      <c r="I44" t="s">
        <v>577</v>
      </c>
      <c r="K44" t="str">
        <f t="shared" si="3"/>
        <v>NA</v>
      </c>
      <c r="L44" t="str">
        <f t="shared" si="4"/>
        <v>Brian Stanislavski</v>
      </c>
      <c r="M44" t="s">
        <v>578</v>
      </c>
      <c r="N44" t="s">
        <v>109</v>
      </c>
      <c r="O44" t="s">
        <v>217</v>
      </c>
      <c r="P44" t="s">
        <v>322</v>
      </c>
      <c r="Q44" t="s">
        <v>323</v>
      </c>
      <c r="R44">
        <v>55041</v>
      </c>
      <c r="S44" t="s">
        <v>324</v>
      </c>
      <c r="T44" t="s">
        <v>252</v>
      </c>
      <c r="AA44" t="s">
        <v>251</v>
      </c>
    </row>
    <row r="45" spans="1:27" x14ac:dyDescent="0.45">
      <c r="A45" t="s">
        <v>21</v>
      </c>
      <c r="B45" t="s">
        <v>215</v>
      </c>
      <c r="C45" t="s">
        <v>99</v>
      </c>
      <c r="D45" t="str">
        <f t="shared" si="0"/>
        <v>Paul Schuh</v>
      </c>
      <c r="E45" t="str">
        <f t="shared" si="1"/>
        <v>NA</v>
      </c>
      <c r="F45" t="str">
        <f t="shared" si="2"/>
        <v>NA</v>
      </c>
      <c r="G45" t="s">
        <v>581</v>
      </c>
      <c r="I45" t="s">
        <v>577</v>
      </c>
      <c r="K45" t="str">
        <f t="shared" si="3"/>
        <v>NA</v>
      </c>
      <c r="L45" t="str">
        <f t="shared" si="4"/>
        <v>NA</v>
      </c>
      <c r="M45" t="s">
        <v>578</v>
      </c>
      <c r="N45" t="s">
        <v>109</v>
      </c>
      <c r="P45" t="s">
        <v>327</v>
      </c>
      <c r="Q45" t="s">
        <v>328</v>
      </c>
      <c r="R45">
        <v>56501</v>
      </c>
      <c r="S45" t="s">
        <v>329</v>
      </c>
      <c r="T45" t="s">
        <v>216</v>
      </c>
      <c r="AA45">
        <v>0</v>
      </c>
    </row>
    <row r="46" spans="1:27" x14ac:dyDescent="0.45">
      <c r="A46" t="s">
        <v>21</v>
      </c>
      <c r="B46" t="s">
        <v>257</v>
      </c>
      <c r="C46" t="s">
        <v>113</v>
      </c>
      <c r="D46" t="str">
        <f t="shared" si="0"/>
        <v>NA</v>
      </c>
      <c r="E46" t="str">
        <f t="shared" si="1"/>
        <v>NA</v>
      </c>
      <c r="F46" t="str">
        <f t="shared" si="2"/>
        <v>NA</v>
      </c>
      <c r="G46" t="s">
        <v>581</v>
      </c>
      <c r="I46" t="s">
        <v>577</v>
      </c>
      <c r="K46" t="str">
        <f t="shared" si="3"/>
        <v>Allan McGill</v>
      </c>
      <c r="L46" t="str">
        <f t="shared" si="4"/>
        <v>NA</v>
      </c>
      <c r="M46" t="s">
        <v>578</v>
      </c>
      <c r="N46" t="s">
        <v>109</v>
      </c>
      <c r="O46" t="s">
        <v>253</v>
      </c>
      <c r="P46" t="s">
        <v>332</v>
      </c>
      <c r="Q46" t="s">
        <v>333</v>
      </c>
      <c r="R46">
        <v>55303</v>
      </c>
      <c r="S46" t="s">
        <v>334</v>
      </c>
      <c r="T46" t="s">
        <v>259</v>
      </c>
      <c r="Y46" t="s">
        <v>258</v>
      </c>
      <c r="AA46" t="s">
        <v>256</v>
      </c>
    </row>
    <row r="47" spans="1:27" x14ac:dyDescent="0.45">
      <c r="A47" t="s">
        <v>22</v>
      </c>
      <c r="B47" t="s">
        <v>263</v>
      </c>
      <c r="C47" t="s">
        <v>113</v>
      </c>
      <c r="D47" t="str">
        <f t="shared" si="0"/>
        <v>NA</v>
      </c>
      <c r="E47" t="str">
        <f t="shared" si="1"/>
        <v>NA</v>
      </c>
      <c r="F47" t="str">
        <f t="shared" si="2"/>
        <v>NA</v>
      </c>
      <c r="G47" t="s">
        <v>581</v>
      </c>
      <c r="I47" t="s">
        <v>577</v>
      </c>
      <c r="K47" t="str">
        <f t="shared" si="3"/>
        <v>Nick Cunningham</v>
      </c>
      <c r="L47" t="str">
        <f t="shared" si="4"/>
        <v>NA</v>
      </c>
      <c r="M47" t="s">
        <v>578</v>
      </c>
      <c r="N47" t="s">
        <v>109</v>
      </c>
      <c r="O47" t="s">
        <v>253</v>
      </c>
      <c r="P47" t="s">
        <v>270</v>
      </c>
      <c r="Q47" t="s">
        <v>271</v>
      </c>
      <c r="R47">
        <v>65706</v>
      </c>
      <c r="S47" t="s">
        <v>272</v>
      </c>
      <c r="T47" t="s">
        <v>265</v>
      </c>
      <c r="Y47" t="s">
        <v>264</v>
      </c>
      <c r="AA47" t="s">
        <v>262</v>
      </c>
    </row>
    <row r="48" spans="1:27" x14ac:dyDescent="0.45">
      <c r="A48" t="s">
        <v>22</v>
      </c>
      <c r="B48" t="s">
        <v>258</v>
      </c>
      <c r="C48" t="s">
        <v>493</v>
      </c>
      <c r="D48" t="str">
        <f t="shared" si="0"/>
        <v>NA</v>
      </c>
      <c r="E48" t="str">
        <f t="shared" si="1"/>
        <v>NA</v>
      </c>
      <c r="F48" t="str">
        <f t="shared" si="2"/>
        <v>NA</v>
      </c>
      <c r="G48" t="s">
        <v>581</v>
      </c>
      <c r="I48" t="s">
        <v>577</v>
      </c>
      <c r="K48" t="str">
        <f t="shared" si="3"/>
        <v>NA</v>
      </c>
      <c r="L48" t="str">
        <f t="shared" si="4"/>
        <v>Eric Bond</v>
      </c>
      <c r="M48" t="s">
        <v>578</v>
      </c>
      <c r="N48" t="s">
        <v>109</v>
      </c>
      <c r="O48" t="s">
        <v>253</v>
      </c>
      <c r="P48" t="s">
        <v>276</v>
      </c>
      <c r="Q48" t="s">
        <v>277</v>
      </c>
      <c r="R48">
        <v>63366</v>
      </c>
      <c r="S48" t="s">
        <v>278</v>
      </c>
      <c r="T48" t="s">
        <v>269</v>
      </c>
      <c r="AA48" t="s">
        <v>268</v>
      </c>
    </row>
    <row r="49" spans="1:27" x14ac:dyDescent="0.45">
      <c r="A49" t="s">
        <v>22</v>
      </c>
      <c r="B49" t="s">
        <v>215</v>
      </c>
      <c r="C49" t="s">
        <v>99</v>
      </c>
      <c r="D49" t="str">
        <f t="shared" si="0"/>
        <v>Paul Schuh</v>
      </c>
      <c r="E49" t="str">
        <f t="shared" si="1"/>
        <v>NA</v>
      </c>
      <c r="F49" t="str">
        <f t="shared" si="2"/>
        <v>NA</v>
      </c>
      <c r="G49" t="s">
        <v>581</v>
      </c>
      <c r="I49" t="s">
        <v>577</v>
      </c>
      <c r="K49" t="str">
        <f t="shared" si="3"/>
        <v>NA</v>
      </c>
      <c r="L49" t="str">
        <f t="shared" si="4"/>
        <v>NA</v>
      </c>
      <c r="M49" t="s">
        <v>578</v>
      </c>
      <c r="N49" t="s">
        <v>109</v>
      </c>
      <c r="P49" t="s">
        <v>286</v>
      </c>
      <c r="Q49" t="s">
        <v>287</v>
      </c>
      <c r="R49">
        <v>65626</v>
      </c>
      <c r="S49" t="s">
        <v>288</v>
      </c>
      <c r="T49" t="s">
        <v>216</v>
      </c>
      <c r="AA49">
        <v>0</v>
      </c>
    </row>
    <row r="50" spans="1:27" x14ac:dyDescent="0.45">
      <c r="A50" t="s">
        <v>23</v>
      </c>
      <c r="B50" t="s">
        <v>273</v>
      </c>
      <c r="C50" t="s">
        <v>113</v>
      </c>
      <c r="D50" t="str">
        <f t="shared" si="0"/>
        <v>NA</v>
      </c>
      <c r="E50" t="str">
        <f t="shared" si="1"/>
        <v>NA</v>
      </c>
      <c r="F50" t="str">
        <f t="shared" si="2"/>
        <v>NA</v>
      </c>
      <c r="G50" t="s">
        <v>581</v>
      </c>
      <c r="I50" t="s">
        <v>577</v>
      </c>
      <c r="K50" t="str">
        <f t="shared" si="3"/>
        <v>Betty Jester</v>
      </c>
      <c r="L50" t="str">
        <f t="shared" si="4"/>
        <v>NA</v>
      </c>
      <c r="M50" t="s">
        <v>578</v>
      </c>
      <c r="N50" t="s">
        <v>109</v>
      </c>
      <c r="O50" t="s">
        <v>253</v>
      </c>
      <c r="P50" t="s">
        <v>165</v>
      </c>
      <c r="Q50" t="s">
        <v>166</v>
      </c>
      <c r="R50">
        <v>59105</v>
      </c>
      <c r="S50" t="s">
        <v>167</v>
      </c>
      <c r="T50" t="s">
        <v>275</v>
      </c>
      <c r="Y50" t="s">
        <v>274</v>
      </c>
      <c r="AA50" t="s">
        <v>272</v>
      </c>
    </row>
    <row r="51" spans="1:27" x14ac:dyDescent="0.45">
      <c r="A51" t="s">
        <v>23</v>
      </c>
      <c r="B51" t="s">
        <v>279</v>
      </c>
      <c r="C51" t="s">
        <v>113</v>
      </c>
      <c r="D51" t="str">
        <f t="shared" si="0"/>
        <v>NA</v>
      </c>
      <c r="E51" t="str">
        <f t="shared" si="1"/>
        <v>NA</v>
      </c>
      <c r="F51" t="str">
        <f t="shared" si="2"/>
        <v>NA</v>
      </c>
      <c r="G51" t="s">
        <v>581</v>
      </c>
      <c r="I51" t="s">
        <v>577</v>
      </c>
      <c r="K51" t="str">
        <f t="shared" si="3"/>
        <v>Jon Strini</v>
      </c>
      <c r="L51" t="str">
        <f t="shared" si="4"/>
        <v>NA</v>
      </c>
      <c r="M51" t="s">
        <v>578</v>
      </c>
      <c r="N51" t="s">
        <v>109</v>
      </c>
      <c r="O51" t="s">
        <v>253</v>
      </c>
      <c r="P51" t="s">
        <v>165</v>
      </c>
      <c r="Q51" t="s">
        <v>205</v>
      </c>
      <c r="R51">
        <v>59105</v>
      </c>
      <c r="S51" t="s">
        <v>206</v>
      </c>
      <c r="T51" t="s">
        <v>280</v>
      </c>
      <c r="Y51" t="s">
        <v>274</v>
      </c>
      <c r="AA51" t="s">
        <v>278</v>
      </c>
    </row>
    <row r="52" spans="1:27" x14ac:dyDescent="0.45">
      <c r="A52" t="s">
        <v>23</v>
      </c>
      <c r="B52" t="s">
        <v>284</v>
      </c>
      <c r="C52" t="s">
        <v>113</v>
      </c>
      <c r="D52" t="str">
        <f t="shared" si="0"/>
        <v>NA</v>
      </c>
      <c r="E52" t="str">
        <f t="shared" si="1"/>
        <v>NA</v>
      </c>
      <c r="F52" t="str">
        <f t="shared" si="2"/>
        <v>NA</v>
      </c>
      <c r="G52" t="s">
        <v>581</v>
      </c>
      <c r="I52" t="s">
        <v>577</v>
      </c>
      <c r="K52" t="str">
        <f t="shared" si="3"/>
        <v>Jason Kell</v>
      </c>
      <c r="L52" t="str">
        <f t="shared" si="4"/>
        <v>NA</v>
      </c>
      <c r="M52" t="s">
        <v>578</v>
      </c>
      <c r="N52" t="s">
        <v>109</v>
      </c>
      <c r="O52" t="s">
        <v>253</v>
      </c>
      <c r="P52" t="s">
        <v>357</v>
      </c>
      <c r="Q52" t="s">
        <v>358</v>
      </c>
      <c r="R52">
        <v>59750</v>
      </c>
      <c r="S52" t="s">
        <v>359</v>
      </c>
      <c r="T52" t="s">
        <v>285</v>
      </c>
      <c r="Y52" t="s">
        <v>274</v>
      </c>
      <c r="AA52" t="s">
        <v>283</v>
      </c>
    </row>
    <row r="53" spans="1:27" x14ac:dyDescent="0.45">
      <c r="A53" t="s">
        <v>23</v>
      </c>
      <c r="B53" t="s">
        <v>289</v>
      </c>
      <c r="C53" t="s">
        <v>113</v>
      </c>
      <c r="D53" t="str">
        <f t="shared" si="0"/>
        <v>NA</v>
      </c>
      <c r="E53" t="str">
        <f t="shared" si="1"/>
        <v>NA</v>
      </c>
      <c r="F53" t="str">
        <f t="shared" si="2"/>
        <v>NA</v>
      </c>
      <c r="G53" t="s">
        <v>581</v>
      </c>
      <c r="I53" t="s">
        <v>577</v>
      </c>
      <c r="K53" t="str">
        <f t="shared" si="3"/>
        <v>Andrew Corey</v>
      </c>
      <c r="L53" t="str">
        <f t="shared" si="4"/>
        <v>NA</v>
      </c>
      <c r="M53" t="s">
        <v>578</v>
      </c>
      <c r="N53" t="s">
        <v>109</v>
      </c>
      <c r="O53" t="s">
        <v>253</v>
      </c>
      <c r="P53" t="s">
        <v>369</v>
      </c>
      <c r="Q53" t="s">
        <v>370</v>
      </c>
      <c r="R53">
        <v>20543</v>
      </c>
      <c r="S53" t="s">
        <v>371</v>
      </c>
      <c r="T53" t="s">
        <v>290</v>
      </c>
      <c r="Y53" t="s">
        <v>264</v>
      </c>
      <c r="AA53" t="s">
        <v>288</v>
      </c>
    </row>
    <row r="54" spans="1:27" x14ac:dyDescent="0.45">
      <c r="A54" t="s">
        <v>23</v>
      </c>
      <c r="B54" t="s">
        <v>294</v>
      </c>
      <c r="C54" t="s">
        <v>120</v>
      </c>
      <c r="D54" t="str">
        <f t="shared" si="0"/>
        <v>NA</v>
      </c>
      <c r="E54" t="str">
        <f t="shared" si="1"/>
        <v>NA</v>
      </c>
      <c r="F54" t="str">
        <f t="shared" si="2"/>
        <v>NA</v>
      </c>
      <c r="G54" t="s">
        <v>581</v>
      </c>
      <c r="I54" t="s">
        <v>577</v>
      </c>
      <c r="K54" t="str">
        <f t="shared" si="3"/>
        <v>NA</v>
      </c>
      <c r="L54" t="str">
        <f t="shared" si="4"/>
        <v>NA</v>
      </c>
      <c r="M54" t="s">
        <v>578</v>
      </c>
      <c r="N54" t="s">
        <v>109</v>
      </c>
      <c r="O54" t="s">
        <v>253</v>
      </c>
      <c r="P54" t="s">
        <v>387</v>
      </c>
      <c r="Q54" t="s">
        <v>388</v>
      </c>
      <c r="R54">
        <v>59404</v>
      </c>
      <c r="S54" t="s">
        <v>389</v>
      </c>
      <c r="T54" t="s">
        <v>295</v>
      </c>
      <c r="Y54" t="s">
        <v>264</v>
      </c>
      <c r="AA54" t="s">
        <v>293</v>
      </c>
    </row>
    <row r="55" spans="1:27" x14ac:dyDescent="0.45">
      <c r="A55" t="s">
        <v>24</v>
      </c>
      <c r="B55" t="s">
        <v>264</v>
      </c>
      <c r="C55" t="s">
        <v>493</v>
      </c>
      <c r="D55" t="str">
        <f t="shared" si="0"/>
        <v>NA</v>
      </c>
      <c r="E55" t="str">
        <f t="shared" si="1"/>
        <v>NA</v>
      </c>
      <c r="F55" t="str">
        <f t="shared" si="2"/>
        <v>NA</v>
      </c>
      <c r="G55" t="s">
        <v>581</v>
      </c>
      <c r="I55" t="s">
        <v>577</v>
      </c>
      <c r="K55" t="str">
        <f t="shared" si="3"/>
        <v>NA</v>
      </c>
      <c r="L55" t="str">
        <f t="shared" si="4"/>
        <v>Chad Jenkins</v>
      </c>
      <c r="M55" t="s">
        <v>578</v>
      </c>
      <c r="N55" t="s">
        <v>109</v>
      </c>
      <c r="O55" t="s">
        <v>253</v>
      </c>
      <c r="P55" t="s">
        <v>88</v>
      </c>
      <c r="Q55" t="s">
        <v>89</v>
      </c>
      <c r="R55">
        <v>28125</v>
      </c>
      <c r="S55" t="s">
        <v>90</v>
      </c>
      <c r="T55" t="s">
        <v>297</v>
      </c>
      <c r="AA55" t="s">
        <v>296</v>
      </c>
    </row>
    <row r="56" spans="1:27" x14ac:dyDescent="0.45">
      <c r="A56" t="s">
        <v>25</v>
      </c>
      <c r="B56" t="s">
        <v>298</v>
      </c>
      <c r="C56" t="s">
        <v>99</v>
      </c>
      <c r="D56" t="str">
        <f t="shared" si="0"/>
        <v>Jordan Plehal</v>
      </c>
      <c r="E56" t="str">
        <f t="shared" si="1"/>
        <v>NA</v>
      </c>
      <c r="F56" t="str">
        <f t="shared" si="2"/>
        <v>NA</v>
      </c>
      <c r="G56" t="s">
        <v>581</v>
      </c>
      <c r="I56" t="s">
        <v>577</v>
      </c>
      <c r="K56" t="str">
        <f t="shared" si="3"/>
        <v>NA</v>
      </c>
      <c r="L56" t="str">
        <f t="shared" si="4"/>
        <v>NA</v>
      </c>
      <c r="M56" t="s">
        <v>578</v>
      </c>
      <c r="N56" t="s">
        <v>109</v>
      </c>
      <c r="P56" t="s">
        <v>171</v>
      </c>
      <c r="Q56" t="s">
        <v>172</v>
      </c>
      <c r="R56">
        <v>58072</v>
      </c>
      <c r="S56" t="s">
        <v>173</v>
      </c>
      <c r="AA56">
        <v>0</v>
      </c>
    </row>
    <row r="57" spans="1:27" x14ac:dyDescent="0.45">
      <c r="A57" t="s">
        <v>26</v>
      </c>
      <c r="B57" t="s">
        <v>303</v>
      </c>
      <c r="C57" t="s">
        <v>113</v>
      </c>
      <c r="D57" t="str">
        <f t="shared" si="0"/>
        <v>NA</v>
      </c>
      <c r="E57" t="str">
        <f t="shared" si="1"/>
        <v>NA</v>
      </c>
      <c r="F57" t="str">
        <f t="shared" si="2"/>
        <v>NA</v>
      </c>
      <c r="G57" t="s">
        <v>581</v>
      </c>
      <c r="I57" t="s">
        <v>577</v>
      </c>
      <c r="K57" t="str">
        <f t="shared" si="3"/>
        <v>Greg Hillesheim</v>
      </c>
      <c r="L57" t="str">
        <f t="shared" si="4"/>
        <v>NA</v>
      </c>
      <c r="M57" t="s">
        <v>578</v>
      </c>
      <c r="N57" t="s">
        <v>109</v>
      </c>
      <c r="O57" t="s">
        <v>299</v>
      </c>
      <c r="P57" t="s">
        <v>63</v>
      </c>
      <c r="Q57" t="s">
        <v>64</v>
      </c>
      <c r="R57">
        <v>68142</v>
      </c>
      <c r="S57" t="s">
        <v>65</v>
      </c>
      <c r="T57" t="s">
        <v>305</v>
      </c>
      <c r="Y57" t="s">
        <v>304</v>
      </c>
      <c r="AA57" t="s">
        <v>302</v>
      </c>
    </row>
    <row r="58" spans="1:27" x14ac:dyDescent="0.45">
      <c r="A58" t="s">
        <v>26</v>
      </c>
      <c r="B58" t="s">
        <v>309</v>
      </c>
      <c r="C58" t="s">
        <v>113</v>
      </c>
      <c r="D58" t="str">
        <f t="shared" si="0"/>
        <v>NA</v>
      </c>
      <c r="E58" t="str">
        <f t="shared" si="1"/>
        <v>NA</v>
      </c>
      <c r="F58" t="str">
        <f t="shared" si="2"/>
        <v>NA</v>
      </c>
      <c r="G58" t="s">
        <v>581</v>
      </c>
      <c r="I58" t="s">
        <v>577</v>
      </c>
      <c r="K58" t="str">
        <f t="shared" si="3"/>
        <v>Jason Kenney</v>
      </c>
      <c r="L58" t="str">
        <f t="shared" si="4"/>
        <v>NA</v>
      </c>
      <c r="M58" t="s">
        <v>578</v>
      </c>
      <c r="N58" t="s">
        <v>109</v>
      </c>
      <c r="O58" t="s">
        <v>299</v>
      </c>
      <c r="P58" t="s">
        <v>176</v>
      </c>
      <c r="Q58" t="s">
        <v>177</v>
      </c>
      <c r="R58">
        <v>69361</v>
      </c>
      <c r="S58" t="s">
        <v>178</v>
      </c>
      <c r="T58" t="s">
        <v>310</v>
      </c>
      <c r="AA58" t="s">
        <v>308</v>
      </c>
    </row>
    <row r="59" spans="1:27" x14ac:dyDescent="0.45">
      <c r="A59" t="s">
        <v>26</v>
      </c>
      <c r="B59" t="s">
        <v>314</v>
      </c>
      <c r="C59" t="s">
        <v>113</v>
      </c>
      <c r="D59" t="str">
        <f t="shared" si="0"/>
        <v>NA</v>
      </c>
      <c r="E59" t="str">
        <f t="shared" si="1"/>
        <v>NA</v>
      </c>
      <c r="F59" t="str">
        <f t="shared" si="2"/>
        <v>NA</v>
      </c>
      <c r="G59" t="s">
        <v>581</v>
      </c>
      <c r="I59" t="s">
        <v>577</v>
      </c>
      <c r="K59" t="str">
        <f t="shared" si="3"/>
        <v>Calvin Pehle</v>
      </c>
      <c r="L59" t="str">
        <f t="shared" si="4"/>
        <v>NA</v>
      </c>
      <c r="M59" t="s">
        <v>578</v>
      </c>
      <c r="N59" t="s">
        <v>109</v>
      </c>
      <c r="O59" t="s">
        <v>299</v>
      </c>
      <c r="P59" t="s">
        <v>254</v>
      </c>
      <c r="Q59" t="s">
        <v>255</v>
      </c>
      <c r="R59">
        <v>68526</v>
      </c>
      <c r="S59" t="s">
        <v>256</v>
      </c>
      <c r="T59" t="s">
        <v>315</v>
      </c>
      <c r="Y59" t="s">
        <v>304</v>
      </c>
      <c r="AA59" t="s">
        <v>313</v>
      </c>
    </row>
    <row r="60" spans="1:27" x14ac:dyDescent="0.45">
      <c r="A60" t="s">
        <v>26</v>
      </c>
      <c r="B60" t="s">
        <v>319</v>
      </c>
      <c r="C60" t="s">
        <v>113</v>
      </c>
      <c r="D60" t="str">
        <f t="shared" si="0"/>
        <v>NA</v>
      </c>
      <c r="E60" t="str">
        <f t="shared" si="1"/>
        <v>NA</v>
      </c>
      <c r="F60" t="str">
        <f t="shared" si="2"/>
        <v>NA</v>
      </c>
      <c r="G60" t="s">
        <v>581</v>
      </c>
      <c r="I60" t="s">
        <v>577</v>
      </c>
      <c r="K60" t="str">
        <f t="shared" si="3"/>
        <v>Tommy Carrigan</v>
      </c>
      <c r="L60" t="str">
        <f t="shared" si="4"/>
        <v>NA</v>
      </c>
      <c r="M60" t="s">
        <v>578</v>
      </c>
      <c r="N60" t="s">
        <v>109</v>
      </c>
      <c r="O60" t="s">
        <v>299</v>
      </c>
      <c r="P60" t="s">
        <v>266</v>
      </c>
      <c r="Q60" t="s">
        <v>267</v>
      </c>
      <c r="R60">
        <v>68372</v>
      </c>
      <c r="S60" t="s">
        <v>268</v>
      </c>
      <c r="T60" t="s">
        <v>321</v>
      </c>
      <c r="Y60" t="s">
        <v>320</v>
      </c>
      <c r="AA60" t="s">
        <v>318</v>
      </c>
    </row>
    <row r="61" spans="1:27" x14ac:dyDescent="0.45">
      <c r="A61" t="s">
        <v>27</v>
      </c>
      <c r="B61" t="s">
        <v>325</v>
      </c>
      <c r="C61" t="s">
        <v>113</v>
      </c>
      <c r="D61" t="str">
        <f t="shared" si="0"/>
        <v>NA</v>
      </c>
      <c r="E61" t="str">
        <f t="shared" si="1"/>
        <v>NA</v>
      </c>
      <c r="F61" t="str">
        <f t="shared" si="2"/>
        <v>NA</v>
      </c>
      <c r="G61" t="s">
        <v>581</v>
      </c>
      <c r="I61" t="s">
        <v>577</v>
      </c>
      <c r="K61" t="str">
        <f t="shared" si="3"/>
        <v>Tamara Lewey</v>
      </c>
      <c r="L61" t="str">
        <f t="shared" si="4"/>
        <v>NA</v>
      </c>
      <c r="M61" t="s">
        <v>578</v>
      </c>
      <c r="N61" t="s">
        <v>109</v>
      </c>
      <c r="O61" t="s">
        <v>299</v>
      </c>
      <c r="P61" t="s">
        <v>521</v>
      </c>
      <c r="Q61" t="s">
        <v>522</v>
      </c>
      <c r="R61">
        <v>7866</v>
      </c>
      <c r="S61" t="s">
        <v>523</v>
      </c>
      <c r="T61" t="s">
        <v>326</v>
      </c>
      <c r="AA61" t="s">
        <v>324</v>
      </c>
    </row>
    <row r="62" spans="1:27" x14ac:dyDescent="0.45">
      <c r="A62" t="s">
        <v>28</v>
      </c>
      <c r="B62" t="s">
        <v>330</v>
      </c>
      <c r="C62" t="s">
        <v>113</v>
      </c>
      <c r="D62" t="str">
        <f t="shared" si="0"/>
        <v>NA</v>
      </c>
      <c r="E62" t="str">
        <f t="shared" si="1"/>
        <v>NA</v>
      </c>
      <c r="F62" t="str">
        <f t="shared" si="2"/>
        <v>NA</v>
      </c>
      <c r="G62" t="s">
        <v>581</v>
      </c>
      <c r="I62" t="s">
        <v>577</v>
      </c>
      <c r="K62" t="str">
        <f t="shared" si="3"/>
        <v>Justin Evans</v>
      </c>
      <c r="L62" t="str">
        <f t="shared" si="4"/>
        <v>NA</v>
      </c>
      <c r="M62" t="s">
        <v>578</v>
      </c>
      <c r="N62" t="s">
        <v>109</v>
      </c>
      <c r="O62" t="s">
        <v>299</v>
      </c>
      <c r="P62" t="s">
        <v>511</v>
      </c>
      <c r="Q62" t="s">
        <v>512</v>
      </c>
      <c r="R62">
        <v>12020</v>
      </c>
      <c r="S62" t="s">
        <v>513</v>
      </c>
      <c r="T62" t="s">
        <v>331</v>
      </c>
      <c r="AA62" t="s">
        <v>329</v>
      </c>
    </row>
    <row r="63" spans="1:27" x14ac:dyDescent="0.45">
      <c r="A63" t="s">
        <v>28</v>
      </c>
      <c r="B63" t="s">
        <v>304</v>
      </c>
      <c r="C63" t="s">
        <v>493</v>
      </c>
      <c r="D63" t="str">
        <f t="shared" si="0"/>
        <v>NA</v>
      </c>
      <c r="E63" t="str">
        <f t="shared" si="1"/>
        <v>NA</v>
      </c>
      <c r="F63" t="str">
        <f t="shared" si="2"/>
        <v>NA</v>
      </c>
      <c r="G63" t="s">
        <v>581</v>
      </c>
      <c r="I63" t="s">
        <v>577</v>
      </c>
      <c r="K63" t="str">
        <f t="shared" si="3"/>
        <v>NA</v>
      </c>
      <c r="L63" t="str">
        <f t="shared" si="4"/>
        <v>Patrick Welch</v>
      </c>
      <c r="M63" t="s">
        <v>578</v>
      </c>
      <c r="N63" t="s">
        <v>109</v>
      </c>
      <c r="O63" t="s">
        <v>299</v>
      </c>
      <c r="P63" t="s">
        <v>536</v>
      </c>
      <c r="Q63" t="s">
        <v>537</v>
      </c>
      <c r="R63">
        <v>13215</v>
      </c>
      <c r="S63" t="s">
        <v>538</v>
      </c>
      <c r="T63" t="s">
        <v>335</v>
      </c>
      <c r="AA63" t="s">
        <v>334</v>
      </c>
    </row>
    <row r="64" spans="1:27" x14ac:dyDescent="0.45">
      <c r="A64" t="s">
        <v>29</v>
      </c>
      <c r="B64" t="s">
        <v>320</v>
      </c>
      <c r="C64" t="s">
        <v>493</v>
      </c>
      <c r="D64" t="str">
        <f t="shared" si="0"/>
        <v>NA</v>
      </c>
      <c r="E64" t="str">
        <f t="shared" si="1"/>
        <v>NA</v>
      </c>
      <c r="F64" t="str">
        <f t="shared" si="2"/>
        <v>NA</v>
      </c>
      <c r="G64" t="s">
        <v>581</v>
      </c>
      <c r="I64" t="s">
        <v>577</v>
      </c>
      <c r="K64" t="str">
        <f t="shared" si="3"/>
        <v>NA</v>
      </c>
      <c r="L64" t="str">
        <f t="shared" si="4"/>
        <v>Matt Sobocinski</v>
      </c>
      <c r="M64" t="s">
        <v>578</v>
      </c>
      <c r="N64" t="s">
        <v>109</v>
      </c>
      <c r="O64" t="s">
        <v>299</v>
      </c>
      <c r="P64" t="s">
        <v>73</v>
      </c>
      <c r="Q64" t="s">
        <v>74</v>
      </c>
      <c r="R64">
        <v>45502</v>
      </c>
      <c r="S64" t="s">
        <v>75</v>
      </c>
      <c r="T64" t="s">
        <v>339</v>
      </c>
      <c r="AA64" t="s">
        <v>338</v>
      </c>
    </row>
    <row r="65" spans="1:27" x14ac:dyDescent="0.45">
      <c r="A65" t="s">
        <v>29</v>
      </c>
      <c r="B65" t="s">
        <v>342</v>
      </c>
      <c r="C65" t="s">
        <v>99</v>
      </c>
      <c r="D65" t="str">
        <f t="shared" si="0"/>
        <v>Keith Seubert</v>
      </c>
      <c r="E65" t="str">
        <f t="shared" si="1"/>
        <v>NA</v>
      </c>
      <c r="F65" t="str">
        <f t="shared" si="2"/>
        <v>NA</v>
      </c>
      <c r="G65" t="s">
        <v>581</v>
      </c>
      <c r="I65" t="s">
        <v>577</v>
      </c>
      <c r="K65" t="str">
        <f t="shared" si="3"/>
        <v>NA</v>
      </c>
      <c r="L65" t="str">
        <f t="shared" si="4"/>
        <v>NA</v>
      </c>
      <c r="M65" t="s">
        <v>578</v>
      </c>
      <c r="N65" t="s">
        <v>109</v>
      </c>
      <c r="P65" t="s">
        <v>424</v>
      </c>
      <c r="Q65" t="s">
        <v>425</v>
      </c>
      <c r="R65">
        <v>44240</v>
      </c>
      <c r="S65" t="s">
        <v>426</v>
      </c>
      <c r="T65" t="s">
        <v>343</v>
      </c>
      <c r="AA65">
        <v>0</v>
      </c>
    </row>
    <row r="66" spans="1:27" x14ac:dyDescent="0.45">
      <c r="A66" t="s">
        <v>29</v>
      </c>
      <c r="B66" t="s">
        <v>348</v>
      </c>
      <c r="C66" t="s">
        <v>113</v>
      </c>
      <c r="D66" t="str">
        <f t="shared" si="0"/>
        <v>NA</v>
      </c>
      <c r="E66" t="str">
        <f t="shared" si="1"/>
        <v>NA</v>
      </c>
      <c r="F66" t="str">
        <f t="shared" si="2"/>
        <v>NA</v>
      </c>
      <c r="G66" t="s">
        <v>581</v>
      </c>
      <c r="I66" t="s">
        <v>577</v>
      </c>
      <c r="K66" t="str">
        <f t="shared" si="3"/>
        <v>Bryan Davis</v>
      </c>
      <c r="L66" t="str">
        <f t="shared" si="4"/>
        <v>NA</v>
      </c>
      <c r="M66" t="s">
        <v>578</v>
      </c>
      <c r="N66" t="s">
        <v>109</v>
      </c>
      <c r="O66" t="s">
        <v>344</v>
      </c>
      <c r="P66" t="s">
        <v>430</v>
      </c>
      <c r="Q66" t="s">
        <v>431</v>
      </c>
      <c r="R66">
        <v>43204</v>
      </c>
      <c r="S66" t="s">
        <v>432</v>
      </c>
      <c r="T66" t="s">
        <v>350</v>
      </c>
      <c r="Y66" t="s">
        <v>349</v>
      </c>
      <c r="AA66" t="s">
        <v>347</v>
      </c>
    </row>
    <row r="67" spans="1:27" x14ac:dyDescent="0.45">
      <c r="A67" t="s">
        <v>29</v>
      </c>
      <c r="B67" t="s">
        <v>354</v>
      </c>
      <c r="C67" t="s">
        <v>113</v>
      </c>
      <c r="D67" t="str">
        <f t="shared" ref="D67:D113" si="5">IF(C67="Regional Business Partner",B67,"NA")</f>
        <v>NA</v>
      </c>
      <c r="E67" t="str">
        <f t="shared" ref="E67:E113" si="6">IF(C67="National Accounts Manager",B67,"NA")</f>
        <v>NA</v>
      </c>
      <c r="F67" t="str">
        <f t="shared" ref="F67:F113" si="7">IF(C67="Waudena Territory Manager",B67,"NA")</f>
        <v>NA</v>
      </c>
      <c r="G67" t="s">
        <v>581</v>
      </c>
      <c r="I67" t="s">
        <v>577</v>
      </c>
      <c r="K67" t="str">
        <f t="shared" ref="K67:K113" si="8">IF(C67="Territory Manager",B67,"NA")</f>
        <v>Kerry Jones</v>
      </c>
      <c r="L67" t="str">
        <f t="shared" ref="L67:L113" si="9">IF(C67="Siding Specialist",B67,"NA")</f>
        <v>NA</v>
      </c>
      <c r="M67" t="s">
        <v>578</v>
      </c>
      <c r="N67" t="s">
        <v>109</v>
      </c>
      <c r="O67" s="1" t="s">
        <v>344</v>
      </c>
      <c r="P67" t="s">
        <v>445</v>
      </c>
      <c r="Q67" t="s">
        <v>446</v>
      </c>
      <c r="R67">
        <v>44720</v>
      </c>
      <c r="S67" t="s">
        <v>447</v>
      </c>
      <c r="T67" t="s">
        <v>356</v>
      </c>
      <c r="Y67" t="s">
        <v>355</v>
      </c>
      <c r="AA67" t="s">
        <v>353</v>
      </c>
    </row>
    <row r="68" spans="1:27" x14ac:dyDescent="0.45">
      <c r="A68" t="s">
        <v>30</v>
      </c>
      <c r="B68" t="s">
        <v>360</v>
      </c>
      <c r="C68" t="s">
        <v>113</v>
      </c>
      <c r="D68" t="str">
        <f t="shared" si="5"/>
        <v>NA</v>
      </c>
      <c r="E68" t="str">
        <f t="shared" si="6"/>
        <v>NA</v>
      </c>
      <c r="F68" t="str">
        <f t="shared" si="7"/>
        <v>NA</v>
      </c>
      <c r="G68" t="s">
        <v>581</v>
      </c>
      <c r="I68" t="s">
        <v>577</v>
      </c>
      <c r="K68" t="str">
        <f t="shared" si="8"/>
        <v>Sammy Saunders</v>
      </c>
      <c r="L68" t="str">
        <f t="shared" si="9"/>
        <v>NA</v>
      </c>
      <c r="M68" t="s">
        <v>578</v>
      </c>
      <c r="N68" t="s">
        <v>109</v>
      </c>
      <c r="O68" t="s">
        <v>344</v>
      </c>
      <c r="P68" t="s">
        <v>526</v>
      </c>
      <c r="Q68" t="s">
        <v>527</v>
      </c>
      <c r="R68">
        <v>18073</v>
      </c>
      <c r="S68" t="s">
        <v>528</v>
      </c>
      <c r="T68" t="s">
        <v>362</v>
      </c>
      <c r="Y68" t="s">
        <v>361</v>
      </c>
      <c r="AA68" t="s">
        <v>359</v>
      </c>
    </row>
    <row r="69" spans="1:27" x14ac:dyDescent="0.45">
      <c r="A69" t="s">
        <v>30</v>
      </c>
      <c r="B69" t="s">
        <v>366</v>
      </c>
      <c r="C69" t="s">
        <v>113</v>
      </c>
      <c r="D69" t="str">
        <f t="shared" si="5"/>
        <v>NA</v>
      </c>
      <c r="E69" t="str">
        <f t="shared" si="6"/>
        <v>NA</v>
      </c>
      <c r="F69" t="str">
        <f t="shared" si="7"/>
        <v>NA</v>
      </c>
      <c r="G69" t="s">
        <v>581</v>
      </c>
      <c r="I69" t="s">
        <v>577</v>
      </c>
      <c r="K69" t="str">
        <f t="shared" si="8"/>
        <v>Tristan Drollinger</v>
      </c>
      <c r="L69" t="str">
        <f t="shared" si="9"/>
        <v>NA</v>
      </c>
      <c r="M69" t="s">
        <v>578</v>
      </c>
      <c r="N69" t="s">
        <v>109</v>
      </c>
      <c r="O69" t="s">
        <v>344</v>
      </c>
      <c r="P69" t="s">
        <v>531</v>
      </c>
      <c r="Q69" t="s">
        <v>532</v>
      </c>
      <c r="R69">
        <v>18612</v>
      </c>
      <c r="S69" t="s">
        <v>533</v>
      </c>
      <c r="T69" t="s">
        <v>368</v>
      </c>
      <c r="Y69" t="s">
        <v>367</v>
      </c>
      <c r="AA69" t="s">
        <v>365</v>
      </c>
    </row>
    <row r="70" spans="1:27" x14ac:dyDescent="0.45">
      <c r="A70" t="s">
        <v>30</v>
      </c>
      <c r="B70" t="s">
        <v>372</v>
      </c>
      <c r="C70" t="s">
        <v>113</v>
      </c>
      <c r="D70" t="str">
        <f t="shared" si="5"/>
        <v>NA</v>
      </c>
      <c r="E70" t="str">
        <f t="shared" si="6"/>
        <v>NA</v>
      </c>
      <c r="F70" t="str">
        <f t="shared" si="7"/>
        <v>NA</v>
      </c>
      <c r="G70" t="s">
        <v>581</v>
      </c>
      <c r="I70" t="s">
        <v>577</v>
      </c>
      <c r="K70" t="str">
        <f t="shared" si="8"/>
        <v>Brian Kneiper</v>
      </c>
      <c r="L70" t="str">
        <f t="shared" si="9"/>
        <v>NA</v>
      </c>
      <c r="M70" t="s">
        <v>578</v>
      </c>
      <c r="N70" t="s">
        <v>109</v>
      </c>
      <c r="O70" t="s">
        <v>344</v>
      </c>
      <c r="P70" t="s">
        <v>546</v>
      </c>
      <c r="Q70" t="s">
        <v>547</v>
      </c>
      <c r="R70">
        <v>15317</v>
      </c>
      <c r="S70" t="s">
        <v>548</v>
      </c>
      <c r="T70" t="s">
        <v>373</v>
      </c>
      <c r="Y70" t="s">
        <v>349</v>
      </c>
      <c r="AA70" t="s">
        <v>371</v>
      </c>
    </row>
    <row r="71" spans="1:27" x14ac:dyDescent="0.45">
      <c r="A71" t="s">
        <v>31</v>
      </c>
      <c r="B71" t="s">
        <v>377</v>
      </c>
      <c r="C71" t="s">
        <v>113</v>
      </c>
      <c r="D71" t="str">
        <f t="shared" si="5"/>
        <v>NA</v>
      </c>
      <c r="E71" t="str">
        <f t="shared" si="6"/>
        <v>NA</v>
      </c>
      <c r="F71" t="str">
        <f t="shared" si="7"/>
        <v>NA</v>
      </c>
      <c r="G71" t="s">
        <v>581</v>
      </c>
      <c r="I71" t="s">
        <v>577</v>
      </c>
      <c r="K71" t="str">
        <f t="shared" si="8"/>
        <v>Bert Baron</v>
      </c>
      <c r="L71" t="str">
        <f t="shared" si="9"/>
        <v>NA</v>
      </c>
      <c r="M71" t="s">
        <v>578</v>
      </c>
      <c r="N71" t="s">
        <v>109</v>
      </c>
      <c r="O71" t="s">
        <v>344</v>
      </c>
      <c r="P71" t="s">
        <v>553</v>
      </c>
      <c r="Q71" t="s">
        <v>554</v>
      </c>
      <c r="R71">
        <v>29036</v>
      </c>
      <c r="S71" t="s">
        <v>555</v>
      </c>
      <c r="T71" t="s">
        <v>378</v>
      </c>
      <c r="Y71" t="s">
        <v>355</v>
      </c>
      <c r="AA71" t="s">
        <v>376</v>
      </c>
    </row>
    <row r="72" spans="1:27" x14ac:dyDescent="0.45">
      <c r="A72" t="s">
        <v>31</v>
      </c>
      <c r="B72" t="s">
        <v>355</v>
      </c>
      <c r="C72" t="s">
        <v>493</v>
      </c>
      <c r="D72" t="str">
        <f t="shared" si="5"/>
        <v>NA</v>
      </c>
      <c r="E72" t="str">
        <f t="shared" si="6"/>
        <v>NA</v>
      </c>
      <c r="F72" t="str">
        <f t="shared" si="7"/>
        <v>NA</v>
      </c>
      <c r="G72" t="s">
        <v>581</v>
      </c>
      <c r="I72" t="s">
        <v>577</v>
      </c>
      <c r="K72" t="str">
        <f t="shared" si="8"/>
        <v>NA</v>
      </c>
      <c r="L72" t="str">
        <f t="shared" si="9"/>
        <v>Todd Memmott</v>
      </c>
      <c r="M72" t="s">
        <v>578</v>
      </c>
      <c r="N72" t="s">
        <v>109</v>
      </c>
      <c r="O72" t="s">
        <v>344</v>
      </c>
      <c r="P72" t="s">
        <v>567</v>
      </c>
      <c r="Q72" t="s">
        <v>568</v>
      </c>
      <c r="R72">
        <v>29016</v>
      </c>
      <c r="S72" t="s">
        <v>569</v>
      </c>
      <c r="T72" t="s">
        <v>382</v>
      </c>
      <c r="AA72" t="s">
        <v>381</v>
      </c>
    </row>
    <row r="73" spans="1:27" x14ac:dyDescent="0.45">
      <c r="A73" t="s">
        <v>32</v>
      </c>
      <c r="B73" t="s">
        <v>349</v>
      </c>
      <c r="C73" t="s">
        <v>493</v>
      </c>
      <c r="D73" t="str">
        <f t="shared" si="5"/>
        <v>NA</v>
      </c>
      <c r="E73" t="str">
        <f t="shared" si="6"/>
        <v>NA</v>
      </c>
      <c r="F73" t="str">
        <f t="shared" si="7"/>
        <v>NA</v>
      </c>
      <c r="G73" t="s">
        <v>581</v>
      </c>
      <c r="I73" t="s">
        <v>577</v>
      </c>
      <c r="K73" t="str">
        <f t="shared" si="8"/>
        <v>NA</v>
      </c>
      <c r="L73" t="str">
        <f t="shared" si="9"/>
        <v>Brandon O'Neil</v>
      </c>
      <c r="M73" t="s">
        <v>578</v>
      </c>
      <c r="N73" t="s">
        <v>109</v>
      </c>
      <c r="O73" t="s">
        <v>344</v>
      </c>
      <c r="P73" t="s">
        <v>194</v>
      </c>
      <c r="Q73" t="s">
        <v>195</v>
      </c>
      <c r="R73">
        <v>57701</v>
      </c>
      <c r="S73" t="s">
        <v>196</v>
      </c>
      <c r="T73" t="s">
        <v>386</v>
      </c>
      <c r="AA73" t="s">
        <v>385</v>
      </c>
    </row>
    <row r="74" spans="1:27" x14ac:dyDescent="0.45">
      <c r="A74" t="s">
        <v>32</v>
      </c>
      <c r="B74" t="s">
        <v>361</v>
      </c>
      <c r="C74" t="s">
        <v>493</v>
      </c>
      <c r="D74" t="str">
        <f t="shared" si="5"/>
        <v>NA</v>
      </c>
      <c r="E74" t="str">
        <f t="shared" si="6"/>
        <v>NA</v>
      </c>
      <c r="F74" t="str">
        <f t="shared" si="7"/>
        <v>NA</v>
      </c>
      <c r="G74" t="s">
        <v>581</v>
      </c>
      <c r="I74" t="s">
        <v>577</v>
      </c>
      <c r="K74" t="str">
        <f t="shared" si="8"/>
        <v>NA</v>
      </c>
      <c r="L74" t="str">
        <f t="shared" si="9"/>
        <v>Pete Tompers</v>
      </c>
      <c r="M74" t="s">
        <v>578</v>
      </c>
      <c r="N74" t="s">
        <v>109</v>
      </c>
      <c r="O74" t="s">
        <v>344</v>
      </c>
      <c r="P74" t="s">
        <v>336</v>
      </c>
      <c r="Q74" t="s">
        <v>337</v>
      </c>
      <c r="R74">
        <v>57005</v>
      </c>
      <c r="S74" t="s">
        <v>338</v>
      </c>
      <c r="T74" t="s">
        <v>390</v>
      </c>
      <c r="AA74" t="s">
        <v>389</v>
      </c>
    </row>
    <row r="75" spans="1:27" x14ac:dyDescent="0.45">
      <c r="A75" t="s">
        <v>33</v>
      </c>
      <c r="B75" t="s">
        <v>393</v>
      </c>
      <c r="C75" t="s">
        <v>99</v>
      </c>
      <c r="D75" t="str">
        <f t="shared" si="5"/>
        <v>Nick Beauchamp</v>
      </c>
      <c r="E75" t="str">
        <f t="shared" si="6"/>
        <v>NA</v>
      </c>
      <c r="F75" t="str">
        <f t="shared" si="7"/>
        <v>NA</v>
      </c>
      <c r="G75" t="s">
        <v>581</v>
      </c>
      <c r="I75" t="s">
        <v>577</v>
      </c>
      <c r="K75" t="str">
        <f t="shared" si="8"/>
        <v>NA</v>
      </c>
      <c r="L75" t="str">
        <f t="shared" si="9"/>
        <v>NA</v>
      </c>
      <c r="M75" t="s">
        <v>578</v>
      </c>
      <c r="N75" t="s">
        <v>109</v>
      </c>
      <c r="P75" t="s">
        <v>68</v>
      </c>
      <c r="Q75" t="s">
        <v>69</v>
      </c>
      <c r="R75">
        <v>37066</v>
      </c>
      <c r="S75" t="s">
        <v>70</v>
      </c>
      <c r="T75" t="s">
        <v>394</v>
      </c>
      <c r="AA75" t="s">
        <v>392</v>
      </c>
    </row>
    <row r="76" spans="1:27" x14ac:dyDescent="0.45">
      <c r="A76" t="s">
        <v>33</v>
      </c>
      <c r="B76" t="s">
        <v>398</v>
      </c>
      <c r="C76" t="s">
        <v>113</v>
      </c>
      <c r="D76" t="str">
        <f t="shared" si="5"/>
        <v>NA</v>
      </c>
      <c r="E76" t="str">
        <f t="shared" si="6"/>
        <v>NA</v>
      </c>
      <c r="F76" t="str">
        <f t="shared" si="7"/>
        <v>NA</v>
      </c>
      <c r="G76" t="s">
        <v>581</v>
      </c>
      <c r="I76" t="s">
        <v>577</v>
      </c>
      <c r="K76" t="str">
        <f t="shared" si="8"/>
        <v>Nicole Schwedler</v>
      </c>
      <c r="L76" t="str">
        <f t="shared" si="9"/>
        <v>NA</v>
      </c>
      <c r="M76" t="s">
        <v>578</v>
      </c>
      <c r="N76" t="s">
        <v>109</v>
      </c>
      <c r="O76" t="s">
        <v>395</v>
      </c>
      <c r="P76" t="s">
        <v>460</v>
      </c>
      <c r="Q76" t="s">
        <v>461</v>
      </c>
      <c r="R76">
        <v>37128</v>
      </c>
      <c r="S76" t="s">
        <v>462</v>
      </c>
      <c r="T76" t="s">
        <v>400</v>
      </c>
      <c r="Y76" t="s">
        <v>399</v>
      </c>
      <c r="AA76">
        <v>0</v>
      </c>
    </row>
    <row r="77" spans="1:27" x14ac:dyDescent="0.45">
      <c r="A77" t="s">
        <v>33</v>
      </c>
      <c r="B77" t="s">
        <v>404</v>
      </c>
      <c r="C77" t="s">
        <v>113</v>
      </c>
      <c r="D77" t="str">
        <f t="shared" si="5"/>
        <v>NA</v>
      </c>
      <c r="E77" t="str">
        <f t="shared" si="6"/>
        <v>NA</v>
      </c>
      <c r="F77" t="str">
        <f t="shared" si="7"/>
        <v>NA</v>
      </c>
      <c r="G77" t="s">
        <v>581</v>
      </c>
      <c r="I77" t="s">
        <v>577</v>
      </c>
      <c r="K77" t="str">
        <f t="shared" si="8"/>
        <v>Ryan Edwards</v>
      </c>
      <c r="L77" t="str">
        <f t="shared" si="9"/>
        <v>NA</v>
      </c>
      <c r="M77" t="s">
        <v>578</v>
      </c>
      <c r="N77" t="s">
        <v>109</v>
      </c>
      <c r="O77" t="s">
        <v>395</v>
      </c>
      <c r="P77" t="s">
        <v>472</v>
      </c>
      <c r="Q77" t="s">
        <v>473</v>
      </c>
      <c r="R77">
        <v>37922</v>
      </c>
      <c r="S77" t="s">
        <v>474</v>
      </c>
      <c r="T77" t="s">
        <v>406</v>
      </c>
      <c r="Y77" t="s">
        <v>405</v>
      </c>
      <c r="AA77" t="s">
        <v>403</v>
      </c>
    </row>
    <row r="78" spans="1:27" x14ac:dyDescent="0.45">
      <c r="A78" t="s">
        <v>33</v>
      </c>
      <c r="B78" t="s">
        <v>410</v>
      </c>
      <c r="C78" t="s">
        <v>113</v>
      </c>
      <c r="D78" t="str">
        <f t="shared" si="5"/>
        <v>NA</v>
      </c>
      <c r="E78" t="str">
        <f t="shared" si="6"/>
        <v>NA</v>
      </c>
      <c r="F78" t="str">
        <f t="shared" si="7"/>
        <v>NA</v>
      </c>
      <c r="G78" t="s">
        <v>581</v>
      </c>
      <c r="I78" t="s">
        <v>577</v>
      </c>
      <c r="K78" t="str">
        <f t="shared" si="8"/>
        <v>Brian Palmateer</v>
      </c>
      <c r="L78" t="str">
        <f t="shared" si="9"/>
        <v>NA</v>
      </c>
      <c r="M78" t="s">
        <v>578</v>
      </c>
      <c r="N78" t="s">
        <v>109</v>
      </c>
      <c r="O78" t="s">
        <v>395</v>
      </c>
      <c r="P78" t="s">
        <v>484</v>
      </c>
      <c r="Q78" t="s">
        <v>485</v>
      </c>
      <c r="R78">
        <v>37415</v>
      </c>
      <c r="S78" t="s">
        <v>486</v>
      </c>
      <c r="T78" t="s">
        <v>412</v>
      </c>
      <c r="Y78" t="s">
        <v>411</v>
      </c>
      <c r="AA78" t="s">
        <v>409</v>
      </c>
    </row>
    <row r="79" spans="1:27" x14ac:dyDescent="0.45">
      <c r="A79" t="s">
        <v>33</v>
      </c>
      <c r="B79" t="s">
        <v>416</v>
      </c>
      <c r="C79" t="s">
        <v>113</v>
      </c>
      <c r="D79" t="str">
        <f t="shared" si="5"/>
        <v>NA</v>
      </c>
      <c r="E79" t="str">
        <f t="shared" si="6"/>
        <v>NA</v>
      </c>
      <c r="F79" t="str">
        <f t="shared" si="7"/>
        <v>NA</v>
      </c>
      <c r="G79" t="s">
        <v>581</v>
      </c>
      <c r="I79" t="s">
        <v>577</v>
      </c>
      <c r="K79" t="str">
        <f t="shared" si="8"/>
        <v>Stephanie Taylor</v>
      </c>
      <c r="L79" t="str">
        <f t="shared" si="9"/>
        <v>NA</v>
      </c>
      <c r="M79" t="s">
        <v>578</v>
      </c>
      <c r="N79" t="s">
        <v>109</v>
      </c>
      <c r="O79" t="s">
        <v>395</v>
      </c>
      <c r="P79" t="s">
        <v>490</v>
      </c>
      <c r="Q79" t="s">
        <v>491</v>
      </c>
      <c r="R79">
        <v>37059</v>
      </c>
      <c r="S79" t="s">
        <v>492</v>
      </c>
      <c r="T79" t="s">
        <v>418</v>
      </c>
      <c r="Y79" t="s">
        <v>417</v>
      </c>
      <c r="AA79" t="s">
        <v>415</v>
      </c>
    </row>
    <row r="80" spans="1:27" x14ac:dyDescent="0.45">
      <c r="A80" t="s">
        <v>33</v>
      </c>
      <c r="B80" t="s">
        <v>422</v>
      </c>
      <c r="C80" t="s">
        <v>113</v>
      </c>
      <c r="D80" t="str">
        <f t="shared" si="5"/>
        <v>NA</v>
      </c>
      <c r="E80" t="str">
        <f t="shared" si="6"/>
        <v>NA</v>
      </c>
      <c r="F80" t="str">
        <f t="shared" si="7"/>
        <v>NA</v>
      </c>
      <c r="G80" t="s">
        <v>581</v>
      </c>
      <c r="I80" t="s">
        <v>577</v>
      </c>
      <c r="K80" t="str">
        <f t="shared" si="8"/>
        <v>John Hotter</v>
      </c>
      <c r="L80" t="str">
        <f t="shared" si="9"/>
        <v>NA</v>
      </c>
      <c r="M80" t="s">
        <v>578</v>
      </c>
      <c r="N80" t="s">
        <v>109</v>
      </c>
      <c r="O80" t="s">
        <v>395</v>
      </c>
      <c r="P80" t="s">
        <v>506</v>
      </c>
      <c r="Q80" t="s">
        <v>507</v>
      </c>
      <c r="R80">
        <v>37721</v>
      </c>
      <c r="S80" t="s">
        <v>508</v>
      </c>
      <c r="T80" t="s">
        <v>423</v>
      </c>
      <c r="Y80" t="s">
        <v>411</v>
      </c>
      <c r="AA80" t="s">
        <v>421</v>
      </c>
    </row>
    <row r="81" spans="1:27" x14ac:dyDescent="0.45">
      <c r="A81" t="s">
        <v>34</v>
      </c>
      <c r="B81" t="s">
        <v>427</v>
      </c>
      <c r="C81" t="s">
        <v>113</v>
      </c>
      <c r="D81" t="str">
        <f t="shared" si="5"/>
        <v>NA</v>
      </c>
      <c r="E81" t="str">
        <f t="shared" si="6"/>
        <v>NA</v>
      </c>
      <c r="F81" t="str">
        <f t="shared" si="7"/>
        <v>NA</v>
      </c>
      <c r="G81" t="s">
        <v>581</v>
      </c>
      <c r="I81" t="s">
        <v>577</v>
      </c>
      <c r="K81" t="str">
        <f t="shared" si="8"/>
        <v>David Carbone</v>
      </c>
      <c r="L81" t="str">
        <f t="shared" si="9"/>
        <v>NA</v>
      </c>
      <c r="M81" t="s">
        <v>578</v>
      </c>
      <c r="N81" t="s">
        <v>109</v>
      </c>
      <c r="O81" t="s">
        <v>395</v>
      </c>
      <c r="P81" t="s">
        <v>351</v>
      </c>
      <c r="Q81" t="s">
        <v>352</v>
      </c>
      <c r="R81">
        <v>84020</v>
      </c>
      <c r="S81" t="s">
        <v>353</v>
      </c>
      <c r="T81" t="s">
        <v>429</v>
      </c>
      <c r="Y81" t="s">
        <v>428</v>
      </c>
      <c r="AA81" t="s">
        <v>426</v>
      </c>
    </row>
    <row r="82" spans="1:27" x14ac:dyDescent="0.45">
      <c r="A82" t="s">
        <v>34</v>
      </c>
      <c r="B82" t="s">
        <v>433</v>
      </c>
      <c r="C82" t="s">
        <v>113</v>
      </c>
      <c r="D82" t="str">
        <f t="shared" si="5"/>
        <v>NA</v>
      </c>
      <c r="E82" t="str">
        <f t="shared" si="6"/>
        <v>NA</v>
      </c>
      <c r="F82" t="str">
        <f t="shared" si="7"/>
        <v>NA</v>
      </c>
      <c r="G82" t="s">
        <v>581</v>
      </c>
      <c r="I82" t="s">
        <v>577</v>
      </c>
      <c r="K82" t="str">
        <f t="shared" si="8"/>
        <v>Marvin Dockstader</v>
      </c>
      <c r="L82" t="str">
        <f t="shared" si="9"/>
        <v>NA</v>
      </c>
      <c r="M82" t="s">
        <v>578</v>
      </c>
      <c r="N82" t="s">
        <v>109</v>
      </c>
      <c r="O82" t="s">
        <v>395</v>
      </c>
      <c r="P82" t="s">
        <v>374</v>
      </c>
      <c r="Q82" t="s">
        <v>375</v>
      </c>
      <c r="R82">
        <v>84041</v>
      </c>
      <c r="S82" t="s">
        <v>376</v>
      </c>
      <c r="T82" t="s">
        <v>435</v>
      </c>
      <c r="Y82" t="s">
        <v>434</v>
      </c>
      <c r="AA82" t="s">
        <v>432</v>
      </c>
    </row>
    <row r="83" spans="1:27" x14ac:dyDescent="0.45">
      <c r="A83" t="s">
        <v>34</v>
      </c>
      <c r="B83" t="s">
        <v>417</v>
      </c>
      <c r="C83" t="s">
        <v>493</v>
      </c>
      <c r="D83" t="str">
        <f t="shared" si="5"/>
        <v>NA</v>
      </c>
      <c r="E83" t="str">
        <f t="shared" si="6"/>
        <v>NA</v>
      </c>
      <c r="F83" t="str">
        <f t="shared" si="7"/>
        <v>NA</v>
      </c>
      <c r="G83" t="s">
        <v>581</v>
      </c>
      <c r="I83" t="s">
        <v>577</v>
      </c>
      <c r="K83" t="str">
        <f t="shared" si="8"/>
        <v>NA</v>
      </c>
      <c r="L83" t="str">
        <f t="shared" si="9"/>
        <v>Tim Weismiller</v>
      </c>
      <c r="M83" t="s">
        <v>578</v>
      </c>
      <c r="N83" t="s">
        <v>109</v>
      </c>
      <c r="O83" t="s">
        <v>395</v>
      </c>
      <c r="P83" t="s">
        <v>379</v>
      </c>
      <c r="Q83" t="s">
        <v>380</v>
      </c>
      <c r="R83">
        <v>84010</v>
      </c>
      <c r="S83" t="s">
        <v>381</v>
      </c>
      <c r="T83" t="s">
        <v>439</v>
      </c>
      <c r="AA83" t="s">
        <v>438</v>
      </c>
    </row>
    <row r="84" spans="1:27" x14ac:dyDescent="0.45">
      <c r="A84" t="s">
        <v>35</v>
      </c>
      <c r="B84" t="s">
        <v>443</v>
      </c>
      <c r="C84" t="s">
        <v>493</v>
      </c>
      <c r="D84" t="str">
        <f t="shared" si="5"/>
        <v>NA</v>
      </c>
      <c r="E84" t="str">
        <f t="shared" si="6"/>
        <v>NA</v>
      </c>
      <c r="F84" t="str">
        <f t="shared" si="7"/>
        <v>NA</v>
      </c>
      <c r="G84" t="s">
        <v>581</v>
      </c>
      <c r="I84" t="s">
        <v>577</v>
      </c>
      <c r="K84" t="str">
        <f t="shared" si="8"/>
        <v>NA</v>
      </c>
      <c r="L84" t="str">
        <f t="shared" si="9"/>
        <v>John Babcock</v>
      </c>
      <c r="M84" t="s">
        <v>578</v>
      </c>
      <c r="N84" t="s">
        <v>109</v>
      </c>
      <c r="O84" t="s">
        <v>395</v>
      </c>
      <c r="P84" t="s">
        <v>383</v>
      </c>
      <c r="Q84" t="s">
        <v>384</v>
      </c>
      <c r="R84">
        <v>99208</v>
      </c>
      <c r="S84" t="s">
        <v>385</v>
      </c>
      <c r="T84" t="s">
        <v>444</v>
      </c>
      <c r="AA84" t="s">
        <v>442</v>
      </c>
    </row>
    <row r="85" spans="1:27" x14ac:dyDescent="0.45">
      <c r="A85" t="s">
        <v>36</v>
      </c>
      <c r="B85" t="s">
        <v>448</v>
      </c>
      <c r="C85" t="s">
        <v>493</v>
      </c>
      <c r="D85" t="str">
        <f t="shared" si="5"/>
        <v>NA</v>
      </c>
      <c r="E85" t="str">
        <f t="shared" si="6"/>
        <v>NA</v>
      </c>
      <c r="F85" t="str">
        <f t="shared" si="7"/>
        <v>NA</v>
      </c>
      <c r="G85" t="s">
        <v>581</v>
      </c>
      <c r="I85" t="s">
        <v>577</v>
      </c>
      <c r="K85" t="str">
        <f t="shared" si="8"/>
        <v>NA</v>
      </c>
      <c r="L85" t="str">
        <f t="shared" si="9"/>
        <v>Michael Stratton</v>
      </c>
      <c r="M85" t="s">
        <v>578</v>
      </c>
      <c r="N85" t="s">
        <v>109</v>
      </c>
      <c r="O85" t="s">
        <v>395</v>
      </c>
      <c r="P85" t="s">
        <v>39</v>
      </c>
      <c r="Q85" t="s">
        <v>40</v>
      </c>
      <c r="R85">
        <v>54455</v>
      </c>
      <c r="S85" t="s">
        <v>41</v>
      </c>
      <c r="T85" t="s">
        <v>449</v>
      </c>
      <c r="AA85" t="s">
        <v>447</v>
      </c>
    </row>
    <row r="86" spans="1:27" x14ac:dyDescent="0.45">
      <c r="A86" t="s">
        <v>36</v>
      </c>
      <c r="B86" t="s">
        <v>411</v>
      </c>
      <c r="C86" t="s">
        <v>493</v>
      </c>
      <c r="D86" t="str">
        <f t="shared" si="5"/>
        <v>NA</v>
      </c>
      <c r="E86" t="str">
        <f t="shared" si="6"/>
        <v>NA</v>
      </c>
      <c r="F86" t="str">
        <f t="shared" si="7"/>
        <v>NA</v>
      </c>
      <c r="G86" t="s">
        <v>581</v>
      </c>
      <c r="I86" t="s">
        <v>577</v>
      </c>
      <c r="K86" t="str">
        <f t="shared" si="8"/>
        <v>NA</v>
      </c>
      <c r="L86" t="str">
        <f t="shared" si="9"/>
        <v>Gary Moore</v>
      </c>
      <c r="M86" t="s">
        <v>578</v>
      </c>
      <c r="N86" t="s">
        <v>109</v>
      </c>
      <c r="O86" t="s">
        <v>395</v>
      </c>
      <c r="P86" t="s">
        <v>45</v>
      </c>
      <c r="Q86" t="s">
        <v>46</v>
      </c>
      <c r="R86">
        <v>54937</v>
      </c>
      <c r="S86" t="s">
        <v>47</v>
      </c>
      <c r="T86" t="s">
        <v>453</v>
      </c>
      <c r="AA86" t="s">
        <v>452</v>
      </c>
    </row>
    <row r="87" spans="1:27" x14ac:dyDescent="0.45">
      <c r="A87" t="s">
        <v>36</v>
      </c>
      <c r="B87" t="s">
        <v>457</v>
      </c>
      <c r="C87" t="s">
        <v>99</v>
      </c>
      <c r="D87" t="str">
        <f t="shared" si="5"/>
        <v>Megan Eno</v>
      </c>
      <c r="E87" t="str">
        <f t="shared" si="6"/>
        <v>NA</v>
      </c>
      <c r="F87" t="str">
        <f t="shared" si="7"/>
        <v>NA</v>
      </c>
      <c r="G87" t="s">
        <v>581</v>
      </c>
      <c r="I87" t="s">
        <v>577</v>
      </c>
      <c r="K87" t="str">
        <f t="shared" si="8"/>
        <v>NA</v>
      </c>
      <c r="L87" t="str">
        <f t="shared" si="9"/>
        <v>NA</v>
      </c>
      <c r="M87" t="s">
        <v>578</v>
      </c>
      <c r="N87" t="s">
        <v>109</v>
      </c>
      <c r="P87" t="s">
        <v>45</v>
      </c>
      <c r="Q87" t="s">
        <v>46</v>
      </c>
      <c r="R87">
        <v>54937</v>
      </c>
      <c r="S87" t="s">
        <v>47</v>
      </c>
      <c r="T87" t="s">
        <v>458</v>
      </c>
      <c r="AA87" t="s">
        <v>456</v>
      </c>
    </row>
    <row r="88" spans="1:27" x14ac:dyDescent="0.45">
      <c r="A88" t="s">
        <v>36</v>
      </c>
      <c r="B88" t="s">
        <v>463</v>
      </c>
      <c r="C88" t="s">
        <v>113</v>
      </c>
      <c r="D88" t="str">
        <f t="shared" si="5"/>
        <v>NA</v>
      </c>
      <c r="E88" t="str">
        <f t="shared" si="6"/>
        <v>NA</v>
      </c>
      <c r="F88" t="str">
        <f t="shared" si="7"/>
        <v>NA</v>
      </c>
      <c r="G88" t="s">
        <v>581</v>
      </c>
      <c r="I88" t="s">
        <v>577</v>
      </c>
      <c r="K88" t="str">
        <f t="shared" si="8"/>
        <v>Christopher Hudson</v>
      </c>
      <c r="L88" t="str">
        <f t="shared" si="9"/>
        <v>NA</v>
      </c>
      <c r="M88" t="s">
        <v>578</v>
      </c>
      <c r="N88" t="s">
        <v>109</v>
      </c>
      <c r="O88" t="s">
        <v>459</v>
      </c>
      <c r="P88" t="s">
        <v>93</v>
      </c>
      <c r="Q88" t="s">
        <v>94</v>
      </c>
      <c r="R88">
        <v>54476</v>
      </c>
      <c r="S88" t="s">
        <v>95</v>
      </c>
      <c r="T88" t="s">
        <v>465</v>
      </c>
      <c r="Y88" t="s">
        <v>464</v>
      </c>
      <c r="AA88" t="s">
        <v>462</v>
      </c>
    </row>
    <row r="89" spans="1:27" x14ac:dyDescent="0.45">
      <c r="A89" t="s">
        <v>36</v>
      </c>
      <c r="B89" t="s">
        <v>469</v>
      </c>
      <c r="C89" t="s">
        <v>113</v>
      </c>
      <c r="D89" t="str">
        <f t="shared" si="5"/>
        <v>NA</v>
      </c>
      <c r="E89" t="str">
        <f t="shared" si="6"/>
        <v>NA</v>
      </c>
      <c r="F89" t="str">
        <f t="shared" si="7"/>
        <v>NA</v>
      </c>
      <c r="G89" t="s">
        <v>581</v>
      </c>
      <c r="I89" t="s">
        <v>577</v>
      </c>
      <c r="K89" t="str">
        <f t="shared" si="8"/>
        <v>Lane Draper</v>
      </c>
      <c r="L89" t="str">
        <f t="shared" si="9"/>
        <v>NA</v>
      </c>
      <c r="M89" t="s">
        <v>578</v>
      </c>
      <c r="N89" t="s">
        <v>109</v>
      </c>
      <c r="O89" t="s">
        <v>459</v>
      </c>
      <c r="P89" t="s">
        <v>93</v>
      </c>
      <c r="R89">
        <v>54476</v>
      </c>
      <c r="T89" t="s">
        <v>471</v>
      </c>
      <c r="Y89" t="s">
        <v>470</v>
      </c>
      <c r="AA89" t="s">
        <v>468</v>
      </c>
    </row>
    <row r="90" spans="1:27" x14ac:dyDescent="0.45">
      <c r="A90" t="s">
        <v>36</v>
      </c>
      <c r="B90" t="s">
        <v>475</v>
      </c>
      <c r="C90" t="s">
        <v>113</v>
      </c>
      <c r="D90" t="str">
        <f t="shared" si="5"/>
        <v>NA</v>
      </c>
      <c r="E90" t="str">
        <f t="shared" si="6"/>
        <v>NA</v>
      </c>
      <c r="F90" t="str">
        <f t="shared" si="7"/>
        <v>NA</v>
      </c>
      <c r="G90" t="s">
        <v>581</v>
      </c>
      <c r="I90" t="s">
        <v>577</v>
      </c>
      <c r="K90" t="str">
        <f t="shared" si="8"/>
        <v>Lori Bryant</v>
      </c>
      <c r="L90" t="str">
        <f t="shared" si="9"/>
        <v>NA</v>
      </c>
      <c r="M90" t="s">
        <v>578</v>
      </c>
      <c r="N90" t="s">
        <v>109</v>
      </c>
      <c r="O90" t="s">
        <v>459</v>
      </c>
      <c r="P90" t="s">
        <v>102</v>
      </c>
      <c r="Q90" t="s">
        <v>103</v>
      </c>
      <c r="R90">
        <v>53402</v>
      </c>
      <c r="S90" t="s">
        <v>104</v>
      </c>
      <c r="T90" t="s">
        <v>477</v>
      </c>
      <c r="Y90" t="s">
        <v>476</v>
      </c>
      <c r="AA90" t="s">
        <v>474</v>
      </c>
    </row>
    <row r="91" spans="1:27" x14ac:dyDescent="0.45">
      <c r="A91" t="s">
        <v>36</v>
      </c>
      <c r="B91" t="s">
        <v>481</v>
      </c>
      <c r="C91" t="s">
        <v>113</v>
      </c>
      <c r="D91" t="str">
        <f t="shared" si="5"/>
        <v>NA</v>
      </c>
      <c r="E91" t="str">
        <f t="shared" si="6"/>
        <v>NA</v>
      </c>
      <c r="F91" t="str">
        <f t="shared" si="7"/>
        <v>NA</v>
      </c>
      <c r="G91" t="s">
        <v>581</v>
      </c>
      <c r="I91" t="s">
        <v>577</v>
      </c>
      <c r="K91" t="str">
        <f t="shared" si="8"/>
        <v>Jim Allman</v>
      </c>
      <c r="L91" t="str">
        <f t="shared" si="9"/>
        <v>NA</v>
      </c>
      <c r="M91" t="s">
        <v>578</v>
      </c>
      <c r="N91" t="s">
        <v>109</v>
      </c>
      <c r="O91" t="s">
        <v>459</v>
      </c>
      <c r="P91" t="s">
        <v>110</v>
      </c>
      <c r="Q91" t="s">
        <v>111</v>
      </c>
      <c r="R91">
        <v>54313</v>
      </c>
      <c r="S91" t="s">
        <v>112</v>
      </c>
      <c r="T91" t="s">
        <v>483</v>
      </c>
      <c r="Y91" t="s">
        <v>482</v>
      </c>
      <c r="AA91" t="s">
        <v>480</v>
      </c>
    </row>
    <row r="92" spans="1:27" x14ac:dyDescent="0.45">
      <c r="A92" t="s">
        <v>36</v>
      </c>
      <c r="B92" t="s">
        <v>487</v>
      </c>
      <c r="C92" t="s">
        <v>113</v>
      </c>
      <c r="D92" t="str">
        <f t="shared" si="5"/>
        <v>NA</v>
      </c>
      <c r="E92" t="str">
        <f t="shared" si="6"/>
        <v>NA</v>
      </c>
      <c r="F92" t="str">
        <f t="shared" si="7"/>
        <v>NA</v>
      </c>
      <c r="G92" t="s">
        <v>581</v>
      </c>
      <c r="I92" t="s">
        <v>577</v>
      </c>
      <c r="K92" t="str">
        <f t="shared" si="8"/>
        <v>Shana Cooper</v>
      </c>
      <c r="L92" t="str">
        <f t="shared" si="9"/>
        <v>NA</v>
      </c>
      <c r="M92" t="s">
        <v>578</v>
      </c>
      <c r="N92" t="s">
        <v>109</v>
      </c>
      <c r="O92" t="s">
        <v>459</v>
      </c>
      <c r="P92" t="s">
        <v>117</v>
      </c>
      <c r="Q92" t="s">
        <v>118</v>
      </c>
      <c r="R92">
        <v>54487</v>
      </c>
      <c r="S92" t="s">
        <v>119</v>
      </c>
      <c r="T92" t="s">
        <v>489</v>
      </c>
      <c r="Y92" t="s">
        <v>488</v>
      </c>
      <c r="AA92" t="s">
        <v>486</v>
      </c>
    </row>
    <row r="93" spans="1:27" x14ac:dyDescent="0.45">
      <c r="A93" t="s">
        <v>36</v>
      </c>
      <c r="B93" t="s">
        <v>464</v>
      </c>
      <c r="C93" t="s">
        <v>493</v>
      </c>
      <c r="D93" t="str">
        <f t="shared" si="5"/>
        <v>NA</v>
      </c>
      <c r="E93" t="str">
        <f t="shared" si="6"/>
        <v>NA</v>
      </c>
      <c r="F93" t="str">
        <f t="shared" si="7"/>
        <v>NA</v>
      </c>
      <c r="G93" t="s">
        <v>581</v>
      </c>
      <c r="I93" t="s">
        <v>577</v>
      </c>
      <c r="K93" t="str">
        <f t="shared" si="8"/>
        <v>NA</v>
      </c>
      <c r="L93" t="str">
        <f t="shared" si="9"/>
        <v>Jacob Murray</v>
      </c>
      <c r="M93" t="s">
        <v>578</v>
      </c>
      <c r="N93" t="s">
        <v>109</v>
      </c>
      <c r="O93" t="s">
        <v>459</v>
      </c>
      <c r="P93" t="s">
        <v>123</v>
      </c>
      <c r="Q93" t="s">
        <v>124</v>
      </c>
      <c r="R93">
        <v>54771</v>
      </c>
      <c r="S93" t="s">
        <v>125</v>
      </c>
      <c r="T93" t="s">
        <v>494</v>
      </c>
      <c r="AA93" t="s">
        <v>492</v>
      </c>
    </row>
    <row r="94" spans="1:27" x14ac:dyDescent="0.45">
      <c r="A94" t="s">
        <v>36</v>
      </c>
      <c r="B94" t="s">
        <v>488</v>
      </c>
      <c r="C94" t="s">
        <v>493</v>
      </c>
      <c r="D94" t="str">
        <f t="shared" si="5"/>
        <v>NA</v>
      </c>
      <c r="E94" t="str">
        <f t="shared" si="6"/>
        <v>NA</v>
      </c>
      <c r="F94" t="str">
        <f t="shared" si="7"/>
        <v>NA</v>
      </c>
      <c r="G94" t="s">
        <v>581</v>
      </c>
      <c r="I94" t="s">
        <v>577</v>
      </c>
      <c r="K94" t="str">
        <f t="shared" si="8"/>
        <v>NA</v>
      </c>
      <c r="L94" t="str">
        <f t="shared" si="9"/>
        <v>Andy Chambers</v>
      </c>
      <c r="M94" t="s">
        <v>578</v>
      </c>
      <c r="N94" t="s">
        <v>109</v>
      </c>
      <c r="O94" t="s">
        <v>459</v>
      </c>
      <c r="P94" t="s">
        <v>129</v>
      </c>
      <c r="Q94" t="s">
        <v>130</v>
      </c>
      <c r="R94">
        <v>54868</v>
      </c>
      <c r="S94" t="s">
        <v>131</v>
      </c>
      <c r="T94" t="s">
        <v>497</v>
      </c>
      <c r="AA94">
        <v>470.31669740000001</v>
      </c>
    </row>
    <row r="95" spans="1:27" x14ac:dyDescent="0.45">
      <c r="A95" t="s">
        <v>36</v>
      </c>
      <c r="B95" t="s">
        <v>482</v>
      </c>
      <c r="C95" t="s">
        <v>493</v>
      </c>
      <c r="D95" t="str">
        <f t="shared" si="5"/>
        <v>NA</v>
      </c>
      <c r="E95" t="str">
        <f t="shared" si="6"/>
        <v>NA</v>
      </c>
      <c r="F95" t="str">
        <f t="shared" si="7"/>
        <v>NA</v>
      </c>
      <c r="G95" t="s">
        <v>581</v>
      </c>
      <c r="I95" t="s">
        <v>577</v>
      </c>
      <c r="K95" t="str">
        <f t="shared" si="8"/>
        <v>NA</v>
      </c>
      <c r="L95" t="str">
        <f t="shared" si="9"/>
        <v>James Crutcher</v>
      </c>
      <c r="M95" t="s">
        <v>578</v>
      </c>
      <c r="N95" t="s">
        <v>109</v>
      </c>
      <c r="O95" t="s">
        <v>459</v>
      </c>
      <c r="P95" t="s">
        <v>134</v>
      </c>
      <c r="Q95" t="s">
        <v>135</v>
      </c>
      <c r="R95">
        <v>53045</v>
      </c>
      <c r="S95" t="s">
        <v>136</v>
      </c>
      <c r="T95" t="s">
        <v>501</v>
      </c>
      <c r="AA95" t="s">
        <v>500</v>
      </c>
    </row>
    <row r="96" spans="1:27" x14ac:dyDescent="0.45">
      <c r="A96" t="s">
        <v>36</v>
      </c>
      <c r="B96" t="s">
        <v>470</v>
      </c>
      <c r="C96" t="s">
        <v>493</v>
      </c>
      <c r="D96" t="str">
        <f t="shared" si="5"/>
        <v>NA</v>
      </c>
      <c r="E96" t="str">
        <f t="shared" si="6"/>
        <v>NA</v>
      </c>
      <c r="F96" t="str">
        <f t="shared" si="7"/>
        <v>NA</v>
      </c>
      <c r="G96" t="s">
        <v>581</v>
      </c>
      <c r="I96" t="s">
        <v>577</v>
      </c>
      <c r="K96" t="str">
        <f t="shared" si="8"/>
        <v>NA</v>
      </c>
      <c r="L96" t="str">
        <f t="shared" si="9"/>
        <v>Chad Kempfer</v>
      </c>
      <c r="M96" t="s">
        <v>578</v>
      </c>
      <c r="N96" t="s">
        <v>109</v>
      </c>
      <c r="O96" t="s">
        <v>459</v>
      </c>
      <c r="P96" t="s">
        <v>150</v>
      </c>
      <c r="Q96" t="s">
        <v>151</v>
      </c>
      <c r="R96">
        <v>53143</v>
      </c>
      <c r="S96" t="s">
        <v>152</v>
      </c>
      <c r="T96" t="s">
        <v>505</v>
      </c>
      <c r="AA96" t="s">
        <v>504</v>
      </c>
    </row>
    <row r="97" spans="1:27" x14ac:dyDescent="0.45">
      <c r="A97" t="s">
        <v>36</v>
      </c>
      <c r="B97" t="s">
        <v>476</v>
      </c>
      <c r="C97" t="s">
        <v>493</v>
      </c>
      <c r="D97" t="str">
        <f t="shared" si="5"/>
        <v>NA</v>
      </c>
      <c r="E97" t="str">
        <f t="shared" si="6"/>
        <v>NA</v>
      </c>
      <c r="F97" t="str">
        <f t="shared" si="7"/>
        <v>NA</v>
      </c>
      <c r="G97" t="s">
        <v>581</v>
      </c>
      <c r="I97" t="s">
        <v>577</v>
      </c>
      <c r="K97" t="str">
        <f t="shared" si="8"/>
        <v>NA</v>
      </c>
      <c r="L97" t="str">
        <f t="shared" si="9"/>
        <v>Terry Brown</v>
      </c>
      <c r="M97" t="s">
        <v>578</v>
      </c>
      <c r="N97" t="s">
        <v>109</v>
      </c>
      <c r="O97" t="s">
        <v>459</v>
      </c>
      <c r="P97" t="s">
        <v>154</v>
      </c>
      <c r="Q97" t="s">
        <v>155</v>
      </c>
      <c r="R97">
        <v>54403</v>
      </c>
      <c r="S97" t="s">
        <v>156</v>
      </c>
      <c r="T97" t="s">
        <v>509</v>
      </c>
      <c r="AA97" t="s">
        <v>508</v>
      </c>
    </row>
    <row r="98" spans="1:27" x14ac:dyDescent="0.45">
      <c r="A98" t="s">
        <v>36</v>
      </c>
      <c r="B98" t="s">
        <v>342</v>
      </c>
      <c r="C98" t="s">
        <v>99</v>
      </c>
      <c r="D98" t="str">
        <f t="shared" si="5"/>
        <v>Keith Seubert</v>
      </c>
      <c r="E98" t="str">
        <f t="shared" si="6"/>
        <v>NA</v>
      </c>
      <c r="F98" t="str">
        <f t="shared" si="7"/>
        <v>NA</v>
      </c>
      <c r="G98" t="s">
        <v>581</v>
      </c>
      <c r="I98" t="s">
        <v>577</v>
      </c>
      <c r="K98" t="str">
        <f t="shared" si="8"/>
        <v>NA</v>
      </c>
      <c r="L98" t="str">
        <f t="shared" si="9"/>
        <v>NA</v>
      </c>
      <c r="M98" t="s">
        <v>578</v>
      </c>
      <c r="N98" t="s">
        <v>109</v>
      </c>
      <c r="O98" t="s">
        <v>510</v>
      </c>
      <c r="P98" t="s">
        <v>93</v>
      </c>
      <c r="R98">
        <v>54476</v>
      </c>
      <c r="T98" t="s">
        <v>343</v>
      </c>
      <c r="AA98">
        <v>0</v>
      </c>
    </row>
    <row r="99" spans="1:27" x14ac:dyDescent="0.45">
      <c r="A99" t="s">
        <v>36</v>
      </c>
      <c r="B99" t="s">
        <v>514</v>
      </c>
      <c r="C99" t="s">
        <v>113</v>
      </c>
      <c r="D99" t="str">
        <f t="shared" si="5"/>
        <v>NA</v>
      </c>
      <c r="E99" t="str">
        <f t="shared" si="6"/>
        <v>NA</v>
      </c>
      <c r="F99" t="str">
        <f t="shared" si="7"/>
        <v>NA</v>
      </c>
      <c r="G99" t="s">
        <v>581</v>
      </c>
      <c r="I99" t="s">
        <v>577</v>
      </c>
      <c r="K99" t="str">
        <f t="shared" si="8"/>
        <v>Aaron Foreman</v>
      </c>
      <c r="L99" t="str">
        <f t="shared" si="9"/>
        <v>NA</v>
      </c>
      <c r="M99" t="s">
        <v>578</v>
      </c>
      <c r="N99" t="s">
        <v>109</v>
      </c>
      <c r="O99" t="s">
        <v>510</v>
      </c>
      <c r="P99" t="s">
        <v>93</v>
      </c>
      <c r="R99">
        <v>54476</v>
      </c>
      <c r="T99" t="s">
        <v>515</v>
      </c>
      <c r="AA99" t="s">
        <v>513</v>
      </c>
    </row>
    <row r="100" spans="1:27" x14ac:dyDescent="0.45">
      <c r="A100" t="s">
        <v>36</v>
      </c>
      <c r="B100" t="s">
        <v>519</v>
      </c>
      <c r="C100" t="s">
        <v>113</v>
      </c>
      <c r="D100" t="str">
        <f t="shared" si="5"/>
        <v>NA</v>
      </c>
      <c r="E100" t="str">
        <f t="shared" si="6"/>
        <v>NA</v>
      </c>
      <c r="F100" t="str">
        <f t="shared" si="7"/>
        <v>NA</v>
      </c>
      <c r="G100" t="s">
        <v>581</v>
      </c>
      <c r="I100" t="s">
        <v>577</v>
      </c>
      <c r="K100" t="str">
        <f t="shared" si="8"/>
        <v>Matt Barnes</v>
      </c>
      <c r="L100" t="str">
        <f t="shared" si="9"/>
        <v>NA</v>
      </c>
      <c r="M100" t="s">
        <v>578</v>
      </c>
      <c r="N100" t="s">
        <v>109</v>
      </c>
      <c r="O100" t="s">
        <v>510</v>
      </c>
      <c r="P100" t="s">
        <v>93</v>
      </c>
      <c r="R100">
        <v>54476</v>
      </c>
      <c r="T100" t="s">
        <v>520</v>
      </c>
      <c r="AA100" t="s">
        <v>518</v>
      </c>
    </row>
    <row r="101" spans="1:27" x14ac:dyDescent="0.45">
      <c r="A101" t="s">
        <v>36</v>
      </c>
      <c r="B101" t="s">
        <v>524</v>
      </c>
      <c r="C101" t="s">
        <v>113</v>
      </c>
      <c r="D101" t="str">
        <f t="shared" si="5"/>
        <v>NA</v>
      </c>
      <c r="E101" t="str">
        <f t="shared" si="6"/>
        <v>NA</v>
      </c>
      <c r="F101" t="str">
        <f t="shared" si="7"/>
        <v>NA</v>
      </c>
      <c r="G101" t="s">
        <v>581</v>
      </c>
      <c r="I101" t="s">
        <v>577</v>
      </c>
      <c r="K101" t="str">
        <f t="shared" si="8"/>
        <v>Jennifer Hollstein</v>
      </c>
      <c r="L101" t="str">
        <f t="shared" si="9"/>
        <v>NA</v>
      </c>
      <c r="M101" t="s">
        <v>578</v>
      </c>
      <c r="N101" t="s">
        <v>109</v>
      </c>
      <c r="O101" t="s">
        <v>510</v>
      </c>
      <c r="P101" t="s">
        <v>93</v>
      </c>
      <c r="R101">
        <v>54476</v>
      </c>
      <c r="T101" t="s">
        <v>525</v>
      </c>
      <c r="AA101" t="s">
        <v>523</v>
      </c>
    </row>
    <row r="102" spans="1:27" x14ac:dyDescent="0.45">
      <c r="A102" t="s">
        <v>36</v>
      </c>
      <c r="B102" t="s">
        <v>529</v>
      </c>
      <c r="C102" t="s">
        <v>113</v>
      </c>
      <c r="D102" t="str">
        <f t="shared" si="5"/>
        <v>NA</v>
      </c>
      <c r="E102" t="str">
        <f t="shared" si="6"/>
        <v>NA</v>
      </c>
      <c r="F102" t="str">
        <f t="shared" si="7"/>
        <v>NA</v>
      </c>
      <c r="G102" t="s">
        <v>581</v>
      </c>
      <c r="I102" t="s">
        <v>577</v>
      </c>
      <c r="K102" t="str">
        <f t="shared" si="8"/>
        <v>Jeffrey Kahler</v>
      </c>
      <c r="L102" t="str">
        <f t="shared" si="9"/>
        <v>NA</v>
      </c>
      <c r="M102" t="s">
        <v>578</v>
      </c>
      <c r="N102" t="s">
        <v>109</v>
      </c>
      <c r="O102" t="s">
        <v>510</v>
      </c>
      <c r="P102" t="s">
        <v>340</v>
      </c>
      <c r="Q102" t="s">
        <v>341</v>
      </c>
      <c r="R102">
        <v>54448</v>
      </c>
      <c r="T102" t="s">
        <v>530</v>
      </c>
      <c r="AA102" t="s">
        <v>528</v>
      </c>
    </row>
    <row r="103" spans="1:27" x14ac:dyDescent="0.45">
      <c r="A103" t="s">
        <v>36</v>
      </c>
      <c r="B103" t="s">
        <v>534</v>
      </c>
      <c r="C103" t="s">
        <v>113</v>
      </c>
      <c r="D103" t="str">
        <f t="shared" si="5"/>
        <v>NA</v>
      </c>
      <c r="E103" t="str">
        <f t="shared" si="6"/>
        <v>NA</v>
      </c>
      <c r="F103" t="str">
        <f t="shared" si="7"/>
        <v>NA</v>
      </c>
      <c r="G103" t="s">
        <v>581</v>
      </c>
      <c r="I103" t="s">
        <v>577</v>
      </c>
      <c r="K103" t="str">
        <f t="shared" si="8"/>
        <v>Omar Nijmeh</v>
      </c>
      <c r="L103" t="str">
        <f t="shared" si="9"/>
        <v>NA</v>
      </c>
      <c r="M103" t="s">
        <v>578</v>
      </c>
      <c r="N103" t="s">
        <v>109</v>
      </c>
      <c r="O103" t="s">
        <v>510</v>
      </c>
      <c r="P103" t="s">
        <v>154</v>
      </c>
      <c r="Q103" t="s">
        <v>391</v>
      </c>
      <c r="R103">
        <v>54403</v>
      </c>
      <c r="S103" t="s">
        <v>392</v>
      </c>
      <c r="T103" t="s">
        <v>535</v>
      </c>
      <c r="AA103" t="s">
        <v>533</v>
      </c>
    </row>
    <row r="104" spans="1:27" x14ac:dyDescent="0.45">
      <c r="A104" t="s">
        <v>36</v>
      </c>
      <c r="B104" t="s">
        <v>539</v>
      </c>
      <c r="C104" t="s">
        <v>113</v>
      </c>
      <c r="D104" t="str">
        <f t="shared" si="5"/>
        <v>NA</v>
      </c>
      <c r="E104" t="str">
        <f t="shared" si="6"/>
        <v>NA</v>
      </c>
      <c r="F104" t="str">
        <f t="shared" si="7"/>
        <v>NA</v>
      </c>
      <c r="G104" t="s">
        <v>581</v>
      </c>
      <c r="I104" t="s">
        <v>577</v>
      </c>
      <c r="K104" t="str">
        <f t="shared" si="8"/>
        <v>Brian Gates</v>
      </c>
      <c r="L104" t="str">
        <f t="shared" si="9"/>
        <v>NA</v>
      </c>
      <c r="M104" t="s">
        <v>578</v>
      </c>
      <c r="N104" t="s">
        <v>109</v>
      </c>
      <c r="O104" t="s">
        <v>510</v>
      </c>
      <c r="P104" t="s">
        <v>454</v>
      </c>
      <c r="Q104" t="s">
        <v>455</v>
      </c>
      <c r="R104">
        <v>54409</v>
      </c>
      <c r="S104" t="s">
        <v>456</v>
      </c>
      <c r="T104" t="s">
        <v>540</v>
      </c>
      <c r="AA104" t="s">
        <v>538</v>
      </c>
    </row>
    <row r="105" spans="1:27" x14ac:dyDescent="0.45">
      <c r="A105" t="s">
        <v>36</v>
      </c>
      <c r="B105" t="s">
        <v>544</v>
      </c>
      <c r="C105" t="s">
        <v>113</v>
      </c>
      <c r="D105" t="str">
        <f t="shared" si="5"/>
        <v>NA</v>
      </c>
      <c r="E105" t="str">
        <f t="shared" si="6"/>
        <v>NA</v>
      </c>
      <c r="F105" t="str">
        <f t="shared" si="7"/>
        <v>NA</v>
      </c>
      <c r="G105" t="s">
        <v>581</v>
      </c>
      <c r="I105" t="s">
        <v>577</v>
      </c>
      <c r="K105" t="str">
        <f t="shared" si="8"/>
        <v>Joseph Ventura</v>
      </c>
      <c r="L105" t="str">
        <f t="shared" si="9"/>
        <v>NA</v>
      </c>
      <c r="M105" t="s">
        <v>578</v>
      </c>
      <c r="N105" t="s">
        <v>109</v>
      </c>
      <c r="O105" t="s">
        <v>510</v>
      </c>
      <c r="P105" t="s">
        <v>340</v>
      </c>
      <c r="Q105" t="s">
        <v>341</v>
      </c>
      <c r="R105">
        <v>54448</v>
      </c>
      <c r="T105" t="s">
        <v>545</v>
      </c>
      <c r="AA105" t="s">
        <v>543</v>
      </c>
    </row>
    <row r="106" spans="1:27" x14ac:dyDescent="0.45">
      <c r="A106" t="s">
        <v>36</v>
      </c>
      <c r="B106" t="s">
        <v>549</v>
      </c>
      <c r="C106" t="s">
        <v>113</v>
      </c>
      <c r="D106" t="str">
        <f t="shared" si="5"/>
        <v>NA</v>
      </c>
      <c r="E106" t="str">
        <f t="shared" si="6"/>
        <v>NA</v>
      </c>
      <c r="F106" t="str">
        <f t="shared" si="7"/>
        <v>NA</v>
      </c>
      <c r="G106" t="s">
        <v>581</v>
      </c>
      <c r="I106" t="s">
        <v>577</v>
      </c>
      <c r="K106" t="str">
        <f t="shared" si="8"/>
        <v>Mike Ulf</v>
      </c>
      <c r="L106" t="str">
        <f t="shared" si="9"/>
        <v>NA</v>
      </c>
      <c r="M106" t="s">
        <v>578</v>
      </c>
      <c r="N106" t="s">
        <v>109</v>
      </c>
      <c r="O106" t="s">
        <v>510</v>
      </c>
      <c r="P106" t="s">
        <v>93</v>
      </c>
      <c r="R106">
        <v>54476</v>
      </c>
      <c r="T106" t="s">
        <v>550</v>
      </c>
      <c r="AA106" t="s">
        <v>548</v>
      </c>
    </row>
    <row r="107" spans="1:27" x14ac:dyDescent="0.45">
      <c r="A107" t="s">
        <v>36</v>
      </c>
      <c r="B107" t="s">
        <v>298</v>
      </c>
      <c r="C107" t="s">
        <v>99</v>
      </c>
      <c r="D107" t="str">
        <f t="shared" si="5"/>
        <v>Jordan Plehal</v>
      </c>
      <c r="E107" t="str">
        <f t="shared" si="6"/>
        <v>NA</v>
      </c>
      <c r="F107" t="str">
        <f t="shared" si="7"/>
        <v>NA</v>
      </c>
      <c r="G107" t="s">
        <v>581</v>
      </c>
      <c r="I107" t="s">
        <v>577</v>
      </c>
      <c r="K107" t="str">
        <f t="shared" si="8"/>
        <v>NA</v>
      </c>
      <c r="L107" t="str">
        <f t="shared" si="9"/>
        <v>NA</v>
      </c>
      <c r="M107" t="s">
        <v>578</v>
      </c>
      <c r="N107" t="s">
        <v>109</v>
      </c>
      <c r="O107" t="s">
        <v>551</v>
      </c>
      <c r="P107" t="s">
        <v>93</v>
      </c>
      <c r="R107">
        <v>54476</v>
      </c>
      <c r="S107" t="s">
        <v>559</v>
      </c>
      <c r="T107" t="s">
        <v>552</v>
      </c>
      <c r="AA107">
        <v>0</v>
      </c>
    </row>
    <row r="108" spans="1:27" x14ac:dyDescent="0.45">
      <c r="A108" t="s">
        <v>36</v>
      </c>
      <c r="B108" t="s">
        <v>556</v>
      </c>
      <c r="C108" t="s">
        <v>113</v>
      </c>
      <c r="D108" t="str">
        <f t="shared" si="5"/>
        <v>NA</v>
      </c>
      <c r="E108" t="str">
        <f t="shared" si="6"/>
        <v>NA</v>
      </c>
      <c r="F108" t="str">
        <f t="shared" si="7"/>
        <v>NA</v>
      </c>
      <c r="G108" t="s">
        <v>581</v>
      </c>
      <c r="I108" t="s">
        <v>577</v>
      </c>
      <c r="K108" t="str">
        <f t="shared" si="8"/>
        <v>Allen Sizemore</v>
      </c>
      <c r="L108" t="str">
        <f t="shared" si="9"/>
        <v>NA</v>
      </c>
      <c r="M108" t="s">
        <v>578</v>
      </c>
      <c r="N108" t="s">
        <v>109</v>
      </c>
      <c r="O108" t="s">
        <v>551</v>
      </c>
      <c r="P108" t="s">
        <v>93</v>
      </c>
      <c r="R108">
        <v>54476</v>
      </c>
      <c r="S108" t="s">
        <v>563</v>
      </c>
      <c r="T108" t="s">
        <v>558</v>
      </c>
      <c r="Y108" t="s">
        <v>557</v>
      </c>
      <c r="AA108" t="s">
        <v>555</v>
      </c>
    </row>
    <row r="109" spans="1:27" x14ac:dyDescent="0.45">
      <c r="A109" t="s">
        <v>36</v>
      </c>
      <c r="B109" t="s">
        <v>560</v>
      </c>
      <c r="C109" t="s">
        <v>113</v>
      </c>
      <c r="D109" t="str">
        <f t="shared" si="5"/>
        <v>NA</v>
      </c>
      <c r="E109" t="str">
        <f t="shared" si="6"/>
        <v>NA</v>
      </c>
      <c r="F109" t="str">
        <f t="shared" si="7"/>
        <v>NA</v>
      </c>
      <c r="G109" t="s">
        <v>581</v>
      </c>
      <c r="I109" t="s">
        <v>577</v>
      </c>
      <c r="K109" t="str">
        <f t="shared" si="8"/>
        <v>Diane Vena/Velasquez</v>
      </c>
      <c r="L109" t="str">
        <f t="shared" si="9"/>
        <v>NA</v>
      </c>
      <c r="M109" t="s">
        <v>578</v>
      </c>
      <c r="N109" t="s">
        <v>109</v>
      </c>
      <c r="O109" t="s">
        <v>551</v>
      </c>
      <c r="P109" t="s">
        <v>93</v>
      </c>
      <c r="R109">
        <v>54476</v>
      </c>
      <c r="T109" t="s">
        <v>562</v>
      </c>
      <c r="Y109" t="s">
        <v>561</v>
      </c>
      <c r="AA109" t="s">
        <v>559</v>
      </c>
    </row>
    <row r="110" spans="1:27" x14ac:dyDescent="0.45">
      <c r="A110" t="s">
        <v>36</v>
      </c>
      <c r="B110" t="s">
        <v>564</v>
      </c>
      <c r="C110" t="s">
        <v>113</v>
      </c>
      <c r="D110" t="str">
        <f t="shared" si="5"/>
        <v>NA</v>
      </c>
      <c r="E110" t="str">
        <f t="shared" si="6"/>
        <v>NA</v>
      </c>
      <c r="F110" t="str">
        <f t="shared" si="7"/>
        <v>NA</v>
      </c>
      <c r="G110" t="s">
        <v>581</v>
      </c>
      <c r="I110" t="s">
        <v>577</v>
      </c>
      <c r="K110" t="str">
        <f t="shared" si="8"/>
        <v>Lori Plesser</v>
      </c>
      <c r="L110" t="str">
        <f t="shared" si="9"/>
        <v>NA</v>
      </c>
      <c r="M110" t="s">
        <v>578</v>
      </c>
      <c r="N110" t="s">
        <v>109</v>
      </c>
      <c r="O110" t="s">
        <v>551</v>
      </c>
      <c r="P110" t="s">
        <v>93</v>
      </c>
      <c r="R110">
        <v>54476</v>
      </c>
      <c r="T110" t="s">
        <v>566</v>
      </c>
      <c r="Y110" t="s">
        <v>565</v>
      </c>
      <c r="AA110" t="s">
        <v>563</v>
      </c>
    </row>
    <row r="111" spans="1:27" x14ac:dyDescent="0.45">
      <c r="A111" t="s">
        <v>140</v>
      </c>
      <c r="B111" t="s">
        <v>557</v>
      </c>
      <c r="C111" t="s">
        <v>493</v>
      </c>
      <c r="D111" t="str">
        <f t="shared" si="5"/>
        <v>NA</v>
      </c>
      <c r="E111" t="str">
        <f t="shared" si="6"/>
        <v>NA</v>
      </c>
      <c r="F111" t="str">
        <f t="shared" si="7"/>
        <v>NA</v>
      </c>
      <c r="G111" t="s">
        <v>581</v>
      </c>
      <c r="I111" t="s">
        <v>577</v>
      </c>
      <c r="K111" t="str">
        <f t="shared" si="8"/>
        <v>NA</v>
      </c>
      <c r="L111" t="str">
        <f t="shared" si="9"/>
        <v>Craig Anglemyer</v>
      </c>
      <c r="M111" t="s">
        <v>578</v>
      </c>
      <c r="N111" t="s">
        <v>109</v>
      </c>
      <c r="O111" t="s">
        <v>551</v>
      </c>
      <c r="P111" t="s">
        <v>139</v>
      </c>
      <c r="Q111" t="s">
        <v>141</v>
      </c>
      <c r="R111">
        <v>53597</v>
      </c>
      <c r="S111" t="s">
        <v>142</v>
      </c>
      <c r="T111" t="s">
        <v>570</v>
      </c>
      <c r="AA111" t="s">
        <v>569</v>
      </c>
    </row>
    <row r="112" spans="1:27" x14ac:dyDescent="0.45">
      <c r="A112" t="s">
        <v>140</v>
      </c>
      <c r="B112" t="s">
        <v>561</v>
      </c>
      <c r="C112" t="s">
        <v>493</v>
      </c>
      <c r="D112" t="str">
        <f t="shared" si="5"/>
        <v>NA</v>
      </c>
      <c r="E112" t="str">
        <f t="shared" si="6"/>
        <v>NA</v>
      </c>
      <c r="F112" t="str">
        <f t="shared" si="7"/>
        <v>NA</v>
      </c>
      <c r="G112" t="s">
        <v>581</v>
      </c>
      <c r="I112" t="s">
        <v>577</v>
      </c>
      <c r="K112" t="str">
        <f t="shared" si="8"/>
        <v>NA</v>
      </c>
      <c r="L112" t="str">
        <f t="shared" si="9"/>
        <v>Elijah Geisler</v>
      </c>
      <c r="M112" t="s">
        <v>578</v>
      </c>
      <c r="N112" t="s">
        <v>109</v>
      </c>
      <c r="O112" t="s">
        <v>551</v>
      </c>
      <c r="P112" t="s">
        <v>158</v>
      </c>
      <c r="Q112" t="s">
        <v>159</v>
      </c>
      <c r="R112">
        <v>54742</v>
      </c>
      <c r="S112" t="s">
        <v>160</v>
      </c>
      <c r="T112" t="s">
        <v>571</v>
      </c>
      <c r="AA112">
        <v>0</v>
      </c>
    </row>
    <row r="113" spans="1:27" x14ac:dyDescent="0.45">
      <c r="A113" t="s">
        <v>140</v>
      </c>
      <c r="B113" t="s">
        <v>565</v>
      </c>
      <c r="C113" t="s">
        <v>493</v>
      </c>
      <c r="D113" t="str">
        <f t="shared" si="5"/>
        <v>NA</v>
      </c>
      <c r="E113" t="str">
        <f t="shared" si="6"/>
        <v>NA</v>
      </c>
      <c r="F113" t="str">
        <f t="shared" si="7"/>
        <v>NA</v>
      </c>
      <c r="G113" t="s">
        <v>581</v>
      </c>
      <c r="I113" t="s">
        <v>577</v>
      </c>
      <c r="K113" t="str">
        <f t="shared" si="8"/>
        <v>NA</v>
      </c>
      <c r="L113" t="str">
        <f t="shared" si="9"/>
        <v>Doug Diebolt</v>
      </c>
      <c r="M113" t="s">
        <v>578</v>
      </c>
      <c r="N113" t="s">
        <v>109</v>
      </c>
      <c r="O113" t="s">
        <v>551</v>
      </c>
      <c r="P113" t="s">
        <v>158</v>
      </c>
      <c r="R113">
        <v>54742</v>
      </c>
      <c r="AA113">
        <v>0</v>
      </c>
    </row>
  </sheetData>
  <autoFilter ref="P1:S13" xr:uid="{AD964F66-0508-4D28-8BB4-0B31FC75E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Baumbaugh</dc:creator>
  <cp:lastModifiedBy>Shawn Baumbaugh</cp:lastModifiedBy>
  <dcterms:created xsi:type="dcterms:W3CDTF">2025-10-30T16:10:55Z</dcterms:created>
  <dcterms:modified xsi:type="dcterms:W3CDTF">2025-10-30T17:46:13Z</dcterms:modified>
</cp:coreProperties>
</file>